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Axioo Pongo\Portofolio DA\Bank Marketing\"/>
    </mc:Choice>
  </mc:AlternateContent>
  <xr:revisionPtr revIDLastSave="0" documentId="13_ncr:1_{CA9640A0-346A-427D-A475-FF4E675E95EF}" xr6:coauthVersionLast="47" xr6:coauthVersionMax="47" xr10:uidLastSave="{00000000-0000-0000-0000-000000000000}"/>
  <bookViews>
    <workbookView xWindow="-28920" yWindow="-120" windowWidth="29040" windowHeight="15720" activeTab="1" xr2:uid="{00000000-000D-0000-FFFF-FFFF00000000}"/>
  </bookViews>
  <sheets>
    <sheet name="Preparation" sheetId="1" r:id="rId1"/>
    <sheet name="Dashboard" sheetId="2" r:id="rId2"/>
  </sheets>
  <definedNames>
    <definedName name="Slicer_education">#N/A</definedName>
    <definedName name="Slicer_housing">#N/A</definedName>
    <definedName name="Slicer_loan">#N/A</definedName>
    <definedName name="Slicer_marital">#N/A</definedName>
  </definedNames>
  <calcPr calcId="191029"/>
  <pivotCaches>
    <pivotCache cacheId="92" r:id="rId3"/>
    <pivotCache cacheId="95" r:id="rId4"/>
    <pivotCache cacheId="98" r:id="rId5"/>
    <pivotCache cacheId="101" r:id="rId6"/>
    <pivotCache cacheId="104" r:id="rId7"/>
    <pivotCache cacheId="107" r:id="rId8"/>
    <pivotCache cacheId="110" r:id="rId9"/>
    <pivotCache cacheId="113" r:id="rId10"/>
    <pivotCache cacheId="116" r:id="rId11"/>
    <pivotCache cacheId="119" r:id="rId12"/>
    <pivotCache cacheId="122" r:id="rId13"/>
  </pivotCaches>
  <extLst>
    <ext xmlns:x14="http://schemas.microsoft.com/office/spreadsheetml/2009/9/main" uri="{876F7934-8845-4945-9796-88D515C7AA90}">
      <x14:pivotCaches>
        <pivotCache cacheId="91" r:id="rId14"/>
      </x14:pivotCaches>
    </ext>
    <ext xmlns:x14="http://schemas.microsoft.com/office/spreadsheetml/2009/9/main" uri="{BBE1A952-AA13-448e-AADC-164F8A28A991}">
      <x14:slicerCaches>
        <x14:slicerCache r:id="rId15"/>
        <x14:slicerCache r:id="rId16"/>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bank-full_39e7cc1d-3c6a-4da1-8d9c-2c3634c3e895" name="bank-full" connection="Query - bank-full"/>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25" i="1" l="1"/>
  <c r="G26" i="1"/>
  <c r="E5" i="1"/>
  <c r="C5"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99144B5-9588-4FF3-8A2E-E9FC0E9E1DF5}" name="Query - bank-full" description="Connection to the 'bank-full' query in the workbook." type="100" refreshedVersion="8" minRefreshableVersion="5">
    <extLst>
      <ext xmlns:x15="http://schemas.microsoft.com/office/spreadsheetml/2010/11/main" uri="{DE250136-89BD-433C-8126-D09CA5730AF9}">
        <x15:connection id="27439d32-26da-4b40-b98d-e04957a38389"/>
      </ext>
    </extLst>
  </connection>
  <connection id="2" xr16:uid="{0169C664-3717-465D-A03C-9A4A38BC7157}"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<sst xmlns="http://schemas.openxmlformats.org/spreadsheetml/2006/main" count="78" uniqueCount="58">
  <si>
    <t>Total Contacts</t>
  </si>
  <si>
    <t>Total Subscriptions</t>
  </si>
  <si>
    <t>AVG Call Durations</t>
  </si>
  <si>
    <t>AVG Contacts/Client</t>
  </si>
  <si>
    <t>Row Labels</t>
  </si>
  <si>
    <t>Grand Total</t>
  </si>
  <si>
    <t>Sum of Subscribed</t>
  </si>
  <si>
    <t>Sum of Subscribed2</t>
  </si>
  <si>
    <t>Monthly Conversion Rate</t>
  </si>
  <si>
    <t>Contact Channel Effectiveness</t>
  </si>
  <si>
    <t>Subscribed</t>
  </si>
  <si>
    <t>Not Subscribed</t>
  </si>
  <si>
    <t>Conversion by Job Type</t>
  </si>
  <si>
    <t>Admin.</t>
  </si>
  <si>
    <t>Blue-Collar</t>
  </si>
  <si>
    <t>Management</t>
  </si>
  <si>
    <t>Retired</t>
  </si>
  <si>
    <t>Technician</t>
  </si>
  <si>
    <t>Apr</t>
  </si>
  <si>
    <t>Aug</t>
  </si>
  <si>
    <t>Dec</t>
  </si>
  <si>
    <t>Feb</t>
  </si>
  <si>
    <t>Jan</t>
  </si>
  <si>
    <t>Jul</t>
  </si>
  <si>
    <t>Jun</t>
  </si>
  <si>
    <t>Mar</t>
  </si>
  <si>
    <t>May</t>
  </si>
  <si>
    <t>Nov</t>
  </si>
  <si>
    <t>Oct</t>
  </si>
  <si>
    <t>Sep</t>
  </si>
  <si>
    <t>Cellular</t>
  </si>
  <si>
    <t>Telephone</t>
  </si>
  <si>
    <t>Call Count vs. Success Rate</t>
  </si>
  <si>
    <t>Previous Campaign Outcome</t>
  </si>
  <si>
    <t>Failure</t>
  </si>
  <si>
    <t>Other</t>
  </si>
  <si>
    <t>Success</t>
  </si>
  <si>
    <t>Sum of previous</t>
  </si>
  <si>
    <t>Age Group Conversion Rate</t>
  </si>
  <si>
    <t>Balance Tier vs. Subscription</t>
  </si>
  <si>
    <t>&lt;0</t>
  </si>
  <si>
    <t>0-500</t>
  </si>
  <si>
    <t>500-2K</t>
  </si>
  <si>
    <t>2K-5K</t>
  </si>
  <si>
    <t>5K-10K</t>
  </si>
  <si>
    <t>10K+</t>
  </si>
  <si>
    <t>Conversion rate</t>
  </si>
  <si>
    <t>minutes</t>
  </si>
  <si>
    <t>18-27</t>
  </si>
  <si>
    <t>28-37</t>
  </si>
  <si>
    <t>38-47</t>
  </si>
  <si>
    <t>48-57</t>
  </si>
  <si>
    <t>58-67</t>
  </si>
  <si>
    <t>68+</t>
  </si>
  <si>
    <t>Sum of Not Subscribed</t>
  </si>
  <si>
    <t>Count of contact</t>
  </si>
  <si>
    <t>Conversion Rate</t>
  </si>
  <si>
    <t>No prior contact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</si>
</sst>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0%"/>
    <numFmt numFmtId="165" formatCode="0.0"/>
    <numFmt numFmtId="166" formatCode="_(* #,##0_);_(* \(#,##0\);_(* &quot;-&quot;??_);_(@_)"/>
  </numFmts>
  <fonts count="3" x14ac:knownFonts="1">
    <font>
      <sz val="11"/>
      <color theme="1"/>
      <name val="Calibri"/>
      <family val="2"/>
      <scheme val="minor"/>
    </font>
    <font>
      <sz val="11"/>
      <color theme="1"/>
      <name val="Calibri"/>
      <family val="2"/>
      <scheme val="minor"/>
    </font>
    <font>
      <sz val="11"/>
      <color theme="1"/>
      <name val="Aptos Display"/>
      <family val="2"/>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12">
    <xf numFmtId="0" fontId="0" fillId="0" borderId="0" xfId="0"/>
    <xf numFmtId="0" fontId="0" fillId="0" borderId="0" xfId="0" pivotButton="1"/>
    <xf numFmtId="0" fontId="0" fillId="0" borderId="0" xfId="0" applyAlignment="1">
      <alignment horizontal="left"/>
    </xf>
    <xf numFmtId="10" fontId="0" fillId="0" borderId="0" xfId="0" applyNumberFormat="1"/>
    <xf numFmtId="164" fontId="0" fillId="0" borderId="0" xfId="1" applyNumberFormat="1" applyFont="1"/>
    <xf numFmtId="0" fontId="2" fillId="0" borderId="0" xfId="0" applyFont="1"/>
    <xf numFmtId="2" fontId="0" fillId="0" borderId="0" xfId="0" applyNumberFormat="1"/>
    <xf numFmtId="165" fontId="0" fillId="0" borderId="0" xfId="0" applyNumberFormat="1"/>
    <xf numFmtId="166" fontId="0" fillId="0" borderId="0" xfId="0" applyNumberFormat="1"/>
    <xf numFmtId="164" fontId="0" fillId="0" borderId="0" xfId="0" applyNumberFormat="1"/>
    <xf numFmtId="1" fontId="0" fillId="0" borderId="0" xfId="0" applyNumberFormat="1"/>
    <xf numFmtId="0" fontId="0" fillId="0" borderId="0" xfId="0" applyNumberFormat="1"/>
  </cellXfs>
  <cellStyles count="2">
    <cellStyle name="Normal" xfId="0" builtinId="0"/>
    <cellStyle name="Percent" xfId="1" builtinId="5"/>
  </cellStyles>
  <dxfs count="24">
    <dxf>
      <numFmt numFmtId="166" formatCode="_(* #,##0_);_(* \(#,##0\);_(* &quot;-&quot;??_);_(@_)"/>
    </dxf>
    <dxf>
      <numFmt numFmtId="164" formatCode="0.0%"/>
    </dxf>
    <dxf>
      <numFmt numFmtId="164" formatCode="0.0%"/>
    </dxf>
    <dxf>
      <numFmt numFmtId="164" formatCode="0.0%"/>
    </dxf>
    <dxf>
      <numFmt numFmtId="0" formatCode="General"/>
    </dxf>
    <dxf>
      <numFmt numFmtId="1" formatCode="0"/>
    </dxf>
    <dxf>
      <numFmt numFmtId="1" formatCode="0"/>
    </dxf>
    <dxf>
      <numFmt numFmtId="166" formatCode="_(* #,##0_);_(* \(#,##0\);_(* &quot;-&quot;??_);_(@_)"/>
    </dxf>
    <dxf>
      <numFmt numFmtId="2" formatCode="0.00"/>
    </dxf>
    <dxf>
      <numFmt numFmtId="165" formatCode="0.0"/>
    </dxf>
    <dxf>
      <numFmt numFmtId="166" formatCode="_(* #,##0_);_(* \(#,##0\);_(* &quot;-&quot;??_);_(@_)"/>
    </dxf>
    <dxf>
      <numFmt numFmtId="164" formatCode="0.0%"/>
    </dxf>
    <dxf>
      <numFmt numFmtId="166" formatCode="_(* #,##0_);_(* \(#,##0\);_(* &quot;-&quot;??_);_(@_)"/>
    </dxf>
    <dxf>
      <numFmt numFmtId="164" formatCode="0.0%"/>
    </dxf>
    <dxf>
      <numFmt numFmtId="166" formatCode="_(* #,##0_);_(* \(#,##0\);_(* &quot;-&quot;??_);_(@_)"/>
    </dxf>
    <dxf>
      <numFmt numFmtId="2" formatCode="0.00"/>
    </dxf>
    <dxf>
      <numFmt numFmtId="164" formatCode="0.0%"/>
    </dxf>
    <dxf>
      <numFmt numFmtId="1" formatCode="0"/>
    </dxf>
    <dxf>
      <numFmt numFmtId="1" formatCode="0"/>
    </dxf>
    <dxf>
      <numFmt numFmtId="0" formatCode="General"/>
    </dxf>
    <dxf>
      <numFmt numFmtId="164" formatCode="0.0%"/>
    </dxf>
    <dxf>
      <numFmt numFmtId="166" formatCode="_(* #,##0_);_(* \(#,##0\);_(* &quot;-&quot;??_);_(@_)"/>
    </dxf>
    <dxf>
      <numFmt numFmtId="165" formatCode="0.0"/>
    </dxf>
    <dxf>
      <numFmt numFmtId="164" formatCode="0.0%"/>
    </dxf>
  </dxfs>
  <tableStyles count="1" defaultTableStyle="TableStyleMedium2" defaultPivotStyle="PivotStyleLight16">
    <tableStyle name="Invisible" pivot="0" table="0" count="0" xr9:uid="{C4B40B46-3B0B-4F86-BC0D-038855DEE4B0}"/>
  </tableStyles>
  <colors>
    <mruColors>
      <color rgb="FF1D9E75"/>
      <color rgb="FFEF8D4B"/>
      <color rgb="FFFA9600"/>
      <color rgb="FFCEE2F6"/>
      <color rgb="FFBBD7F3"/>
      <color rgb="FFA6CBF0"/>
      <color rgb="FF7BB2E9"/>
      <color rgb="FF579DE3"/>
      <color rgb="FF378ADD"/>
      <color rgb="FFB5D4F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1.xml"/><Relationship Id="rId18" Type="http://schemas.microsoft.com/office/2007/relationships/slicerCache" Target="slicerCaches/slicerCache4.xml"/><Relationship Id="rId26" Type="http://schemas.openxmlformats.org/officeDocument/2006/relationships/customXml" Target="../customXml/item2.xml"/><Relationship Id="rId39" Type="http://schemas.openxmlformats.org/officeDocument/2006/relationships/customXml" Target="../customXml/item15.xml"/><Relationship Id="rId3" Type="http://schemas.openxmlformats.org/officeDocument/2006/relationships/pivotCacheDefinition" Target="pivotCache/pivotCacheDefinition1.xml"/><Relationship Id="rId21" Type="http://schemas.openxmlformats.org/officeDocument/2006/relationships/styles" Target="styles.xml"/><Relationship Id="rId34" Type="http://schemas.openxmlformats.org/officeDocument/2006/relationships/customXml" Target="../customXml/item10.xml"/><Relationship Id="rId42" Type="http://schemas.openxmlformats.org/officeDocument/2006/relationships/customXml" Target="../customXml/item18.xml"/><Relationship Id="rId47" Type="http://schemas.openxmlformats.org/officeDocument/2006/relationships/customXml" Target="../customXml/item23.xml"/><Relationship Id="rId50" Type="http://schemas.openxmlformats.org/officeDocument/2006/relationships/customXml" Target="../customXml/item26.xml"/><Relationship Id="rId7" Type="http://schemas.openxmlformats.org/officeDocument/2006/relationships/pivotCacheDefinition" Target="pivotCache/pivotCacheDefinition5.xml"/><Relationship Id="rId12" Type="http://schemas.openxmlformats.org/officeDocument/2006/relationships/pivotCacheDefinition" Target="pivotCache/pivotCacheDefinition10.xml"/><Relationship Id="rId17" Type="http://schemas.microsoft.com/office/2007/relationships/slicerCache" Target="slicerCaches/slicerCache3.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 Id="rId46" Type="http://schemas.openxmlformats.org/officeDocument/2006/relationships/customXml" Target="../customXml/item22.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connections" Target="connections.xml"/><Relationship Id="rId29" Type="http://schemas.openxmlformats.org/officeDocument/2006/relationships/customXml" Target="../customXml/item5.xml"/><Relationship Id="rId41"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pivotCacheDefinition" Target="pivotCache/pivotCacheDefinition9.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45" Type="http://schemas.openxmlformats.org/officeDocument/2006/relationships/customXml" Target="../customXml/item21.xml"/><Relationship Id="rId5" Type="http://schemas.openxmlformats.org/officeDocument/2006/relationships/pivotCacheDefinition" Target="pivotCache/pivotCacheDefinition3.xml"/><Relationship Id="rId15" Type="http://schemas.microsoft.com/office/2007/relationships/slicerCache" Target="slicerCaches/slicerCache1.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49" Type="http://schemas.openxmlformats.org/officeDocument/2006/relationships/customXml" Target="../customXml/item25.xml"/><Relationship Id="rId10" Type="http://schemas.openxmlformats.org/officeDocument/2006/relationships/pivotCacheDefinition" Target="pivotCache/pivotCacheDefinition8.xml"/><Relationship Id="rId19" Type="http://schemas.openxmlformats.org/officeDocument/2006/relationships/theme" Target="theme/theme1.xml"/><Relationship Id="rId31" Type="http://schemas.openxmlformats.org/officeDocument/2006/relationships/customXml" Target="../customXml/item7.xml"/><Relationship Id="rId44" Type="http://schemas.openxmlformats.org/officeDocument/2006/relationships/customXml" Target="../customXml/item20.xml"/><Relationship Id="rId52" Type="http://schemas.openxmlformats.org/officeDocument/2006/relationships/customXml" Target="../customXml/item28.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pivotCacheDefinition" Target="pivotCache/pivotCacheDefinition12.xml"/><Relationship Id="rId22" Type="http://schemas.openxmlformats.org/officeDocument/2006/relationships/sharedStrings" Target="sharedString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48" Type="http://schemas.openxmlformats.org/officeDocument/2006/relationships/customXml" Target="../customXml/item24.xml"/><Relationship Id="rId8" Type="http://schemas.openxmlformats.org/officeDocument/2006/relationships/pivotCacheDefinition" Target="pivotCache/pivotCacheDefinition6.xml"/><Relationship Id="rId51" Type="http://schemas.openxmlformats.org/officeDocument/2006/relationships/customXml" Target="../customXml/item2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[dashboard.xlsx]Preparation!PivotTable6</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Preparation!$B$8</c:f>
              <c:strCache>
                <c:ptCount val="1"/>
                <c:pt idx="0">
                  <c:v>Subscribed</c:v>
                </c:pt>
              </c:strCache>
            </c:strRef>
          </c:tx>
          <c:spPr>
            <a:solidFill>
              <a:schemeClr val="accent1"/>
            </a:solidFill>
            <a:ln>
              <a:noFill/>
            </a:ln>
            <a:effectLst/>
          </c:spPr>
          <c:invertIfNegative val="0"/>
          <c:cat>
            <c:strRef>
              <c:f>Preparation!$A$9:$A$21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Preparation!$B$9:$B$21</c:f>
              <c:numCache>
                <c:formatCode>_(* #,##0_);_(* \(#,##0\);_(* "-"??_);_(@_)</c:formatCode>
                <c:ptCount val="12"/>
                <c:pt idx="0">
                  <c:v>141</c:v>
                </c:pt>
                <c:pt idx="1">
                  <c:v>437</c:v>
                </c:pt>
                <c:pt idx="2">
                  <c:v>244</c:v>
                </c:pt>
                <c:pt idx="3">
                  <c:v>572</c:v>
                </c:pt>
                <c:pt idx="4">
                  <c:v>664</c:v>
                </c:pt>
                <c:pt idx="5">
                  <c:v>340</c:v>
                </c:pt>
                <c:pt idx="6">
                  <c:v>616</c:v>
                </c:pt>
                <c:pt idx="7">
                  <c:v>683</c:v>
                </c:pt>
                <c:pt idx="8">
                  <c:v>266</c:v>
                </c:pt>
                <c:pt idx="9">
                  <c:v>306</c:v>
                </c:pt>
                <c:pt idx="10">
                  <c:v>390</c:v>
                </c:pt>
                <c:pt idx="11">
                  <c:v>100</c:v>
                </c:pt>
              </c:numCache>
            </c:numRef>
          </c:val>
          <c:extLst>
            <c:ext xmlns:c16="http://schemas.microsoft.com/office/drawing/2014/chart" uri="{C3380CC4-5D6E-409C-BE32-E72D297353CC}">
              <c16:uniqueId val="{00000000-F3F1-424D-BE64-6D292D259451}"/>
            </c:ext>
          </c:extLst>
        </c:ser>
        <c:ser>
          <c:idx val="1"/>
          <c:order val="1"/>
          <c:tx>
            <c:strRef>
              <c:f>Preparation!$C$8</c:f>
              <c:strCache>
                <c:ptCount val="1"/>
                <c:pt idx="0">
                  <c:v>Not Subscribed</c:v>
                </c:pt>
              </c:strCache>
            </c:strRef>
          </c:tx>
          <c:spPr>
            <a:solidFill>
              <a:schemeClr val="accent2"/>
            </a:solidFill>
            <a:ln>
              <a:noFill/>
            </a:ln>
            <a:effectLst/>
          </c:spPr>
          <c:invertIfNegative val="0"/>
          <c:cat>
            <c:strRef>
              <c:f>Preparation!$A$9:$A$21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Preparation!$C$9:$C$21</c:f>
              <c:numCache>
                <c:formatCode>_(* #,##0_);_(* \(#,##0\);_(* "-"??_);_(@_)</c:formatCode>
                <c:ptCount val="12"/>
                <c:pt idx="0">
                  <c:v>1253</c:v>
                </c:pt>
                <c:pt idx="1">
                  <c:v>2199</c:v>
                </c:pt>
                <c:pt idx="2">
                  <c:v>226</c:v>
                </c:pt>
                <c:pt idx="3">
                  <c:v>2354</c:v>
                </c:pt>
                <c:pt idx="4">
                  <c:v>5127</c:v>
                </c:pt>
                <c:pt idx="5">
                  <c:v>469</c:v>
                </c:pt>
                <c:pt idx="6">
                  <c:v>6003</c:v>
                </c:pt>
                <c:pt idx="7">
                  <c:v>5513</c:v>
                </c:pt>
                <c:pt idx="8">
                  <c:v>266</c:v>
                </c:pt>
                <c:pt idx="9">
                  <c:v>382</c:v>
                </c:pt>
                <c:pt idx="10">
                  <c:v>3529</c:v>
                </c:pt>
                <c:pt idx="11">
                  <c:v>111</c:v>
                </c:pt>
              </c:numCache>
            </c:numRef>
          </c:val>
          <c:extLst>
            <c:ext xmlns:c16="http://schemas.microsoft.com/office/drawing/2014/chart" uri="{C3380CC4-5D6E-409C-BE32-E72D297353CC}">
              <c16:uniqueId val="{00000001-F3F1-424D-BE64-6D292D259451}"/>
            </c:ext>
          </c:extLst>
        </c:ser>
        <c:dLbls>
          <c:showLegendKey val="0"/>
          <c:showVal val="0"/>
          <c:showCatName val="0"/>
          <c:showSerName val="0"/>
          <c:showPercent val="0"/>
          <c:showBubbleSize val="0"/>
        </c:dLbls>
        <c:gapWidth val="150"/>
        <c:overlap val="100"/>
        <c:axId val="137882287"/>
        <c:axId val="137878327"/>
      </c:barChart>
      <c:catAx>
        <c:axId val="137882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37878327"/>
        <c:crosses val="autoZero"/>
        <c:auto val="1"/>
        <c:lblAlgn val="ctr"/>
        <c:lblOffset val="100"/>
        <c:noMultiLvlLbl val="0"/>
      </c:catAx>
      <c:valAx>
        <c:axId val="137878327"/>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3788228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[dashboard.xlsx]Preparation!PivotTable9</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d-ID"/>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Preparation!$B$37</c:f>
              <c:strCache>
                <c:ptCount val="1"/>
                <c:pt idx="0">
                  <c:v>Total</c:v>
                </c:pt>
              </c:strCache>
            </c:strRef>
          </c:tx>
          <c:spPr>
            <a:solidFill>
              <a:schemeClr val="accent1"/>
            </a:solidFill>
            <a:ln>
              <a:noFill/>
            </a:ln>
            <a:effectLst/>
          </c:spPr>
          <c:invertIfNegative val="0"/>
          <c:cat>
            <c:strRef>
              <c:f>Preparation!$A$38:$A$43</c:f>
              <c:strCache>
                <c:ptCount val="5"/>
                <c:pt idx="0">
                  <c:v>Management</c:v>
                </c:pt>
                <c:pt idx="1">
                  <c:v>Technician</c:v>
                </c:pt>
                <c:pt idx="2">
                  <c:v>Admin.</c:v>
                </c:pt>
                <c:pt idx="3">
                  <c:v>Blue-Collar</c:v>
                </c:pt>
                <c:pt idx="4">
                  <c:v>Retired</c:v>
                </c:pt>
              </c:strCache>
            </c:strRef>
          </c:cat>
          <c:val>
            <c:numRef>
              <c:f>Preparation!$B$38:$B$43</c:f>
              <c:numCache>
                <c:formatCode>0.0%</c:formatCode>
                <c:ptCount val="5"/>
                <c:pt idx="0">
                  <c:v>0.33825578155475061</c:v>
                </c:pt>
                <c:pt idx="1">
                  <c:v>0.21120089161326275</c:v>
                </c:pt>
                <c:pt idx="2">
                  <c:v>0.15881861242685985</c:v>
                </c:pt>
                <c:pt idx="3">
                  <c:v>0.15380328782390637</c:v>
                </c:pt>
                <c:pt idx="4">
                  <c:v>0.13792142658122039</c:v>
                </c:pt>
              </c:numCache>
            </c:numRef>
          </c:val>
          <c:extLst>
            <c:ext xmlns:c16="http://schemas.microsoft.com/office/drawing/2014/chart" uri="{C3380CC4-5D6E-409C-BE32-E72D297353CC}">
              <c16:uniqueId val="{00000000-6A1D-43A2-8B2B-0AA5270C349F}"/>
            </c:ext>
          </c:extLst>
        </c:ser>
        <c:dLbls>
          <c:showLegendKey val="0"/>
          <c:showVal val="0"/>
          <c:showCatName val="0"/>
          <c:showSerName val="0"/>
          <c:showPercent val="0"/>
          <c:showBubbleSize val="0"/>
        </c:dLbls>
        <c:gapWidth val="182"/>
        <c:axId val="132283887"/>
        <c:axId val="132287487"/>
      </c:barChart>
      <c:catAx>
        <c:axId val="1322838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32287487"/>
        <c:crosses val="autoZero"/>
        <c:auto val="1"/>
        <c:lblAlgn val="ctr"/>
        <c:lblOffset val="100"/>
        <c:noMultiLvlLbl val="0"/>
      </c:catAx>
      <c:valAx>
        <c:axId val="132287487"/>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322838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[dashboard.xlsx]Preparation!PivotTable10</c:name>
    <c:fmtId val="3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Preparation!$B$55</c:f>
              <c:strCache>
                <c:ptCount val="1"/>
                <c:pt idx="0">
                  <c:v>Sum of Subscribed</c:v>
                </c:pt>
              </c:strCache>
            </c:strRef>
          </c:tx>
          <c:spPr>
            <a:solidFill>
              <a:schemeClr val="accent1"/>
            </a:solidFill>
            <a:ln>
              <a:noFill/>
            </a:ln>
            <a:effectLst/>
          </c:spPr>
          <c:cat>
            <c:strRef>
              <c:f>Preparation!$A$56:$A$62</c:f>
              <c:strCache>
                <c:ptCount val="6"/>
                <c:pt idx="0">
                  <c:v>1</c:v>
                </c:pt>
                <c:pt idx="1">
                  <c:v>2</c:v>
                </c:pt>
                <c:pt idx="2">
                  <c:v>3</c:v>
                </c:pt>
                <c:pt idx="3">
                  <c:v>4</c:v>
                </c:pt>
                <c:pt idx="4">
                  <c:v>5</c:v>
                </c:pt>
                <c:pt idx="5">
                  <c:v>6</c:v>
                </c:pt>
              </c:strCache>
            </c:strRef>
          </c:cat>
          <c:val>
            <c:numRef>
              <c:f>Preparation!$B$56:$B$62</c:f>
              <c:numCache>
                <c:formatCode>0.0%</c:formatCode>
                <c:ptCount val="6"/>
                <c:pt idx="0">
                  <c:v>0.50475572849113703</c:v>
                </c:pt>
                <c:pt idx="1">
                  <c:v>0.27129269347168178</c:v>
                </c:pt>
                <c:pt idx="2">
                  <c:v>0.11802853437094682</c:v>
                </c:pt>
                <c:pt idx="3">
                  <c:v>6.1608300907911806E-2</c:v>
                </c:pt>
                <c:pt idx="4">
                  <c:v>2.7237354085603113E-2</c:v>
                </c:pt>
                <c:pt idx="5">
                  <c:v>1.707738867271941E-2</c:v>
                </c:pt>
              </c:numCache>
            </c:numRef>
          </c:val>
          <c:extLst>
            <c:ext xmlns:c16="http://schemas.microsoft.com/office/drawing/2014/chart" uri="{C3380CC4-5D6E-409C-BE32-E72D297353CC}">
              <c16:uniqueId val="{00000000-32C0-4B95-A9BB-0EB6013158A2}"/>
            </c:ext>
          </c:extLst>
        </c:ser>
        <c:dLbls>
          <c:showLegendKey val="0"/>
          <c:showVal val="0"/>
          <c:showCatName val="0"/>
          <c:showSerName val="0"/>
          <c:showPercent val="0"/>
          <c:showBubbleSize val="0"/>
        </c:dLbls>
        <c:axId val="487943295"/>
        <c:axId val="487942935"/>
      </c:areaChart>
      <c:lineChart>
        <c:grouping val="stacked"/>
        <c:varyColors val="0"/>
        <c:ser>
          <c:idx val="1"/>
          <c:order val="1"/>
          <c:tx>
            <c:strRef>
              <c:f>Preparation!$C$55</c:f>
              <c:strCache>
                <c:ptCount val="1"/>
                <c:pt idx="0">
                  <c:v>Sum of Subscribed2</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Preparation!$A$56:$A$62</c:f>
              <c:strCache>
                <c:ptCount val="6"/>
                <c:pt idx="0">
                  <c:v>1</c:v>
                </c:pt>
                <c:pt idx="1">
                  <c:v>2</c:v>
                </c:pt>
                <c:pt idx="2">
                  <c:v>3</c:v>
                </c:pt>
                <c:pt idx="3">
                  <c:v>4</c:v>
                </c:pt>
                <c:pt idx="4">
                  <c:v>5</c:v>
                </c:pt>
                <c:pt idx="5">
                  <c:v>6</c:v>
                </c:pt>
              </c:strCache>
            </c:strRef>
          </c:cat>
          <c:val>
            <c:numRef>
              <c:f>Preparation!$C$56:$C$62</c:f>
              <c:numCache>
                <c:formatCode>0.0%</c:formatCode>
                <c:ptCount val="6"/>
                <c:pt idx="0">
                  <c:v>0.50475572849113703</c:v>
                </c:pt>
                <c:pt idx="1">
                  <c:v>0.27129269347168178</c:v>
                </c:pt>
                <c:pt idx="2">
                  <c:v>0.11802853437094682</c:v>
                </c:pt>
                <c:pt idx="3">
                  <c:v>6.1608300907911806E-2</c:v>
                </c:pt>
                <c:pt idx="4">
                  <c:v>2.7237354085603113E-2</c:v>
                </c:pt>
                <c:pt idx="5">
                  <c:v>1.707738867271941E-2</c:v>
                </c:pt>
              </c:numCache>
            </c:numRef>
          </c:val>
          <c:smooth val="0"/>
          <c:extLst>
            <c:ext xmlns:c16="http://schemas.microsoft.com/office/drawing/2014/chart" uri="{C3380CC4-5D6E-409C-BE32-E72D297353CC}">
              <c16:uniqueId val="{00000002-32C0-4B95-A9BB-0EB6013158A2}"/>
            </c:ext>
          </c:extLst>
        </c:ser>
        <c:dLbls>
          <c:showLegendKey val="0"/>
          <c:showVal val="0"/>
          <c:showCatName val="0"/>
          <c:showSerName val="0"/>
          <c:showPercent val="0"/>
          <c:showBubbleSize val="0"/>
        </c:dLbls>
        <c:marker val="1"/>
        <c:smooth val="0"/>
        <c:axId val="487943295"/>
        <c:axId val="487942935"/>
      </c:lineChart>
      <c:catAx>
        <c:axId val="48794329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487942935"/>
        <c:crosses val="autoZero"/>
        <c:auto val="1"/>
        <c:lblAlgn val="ctr"/>
        <c:lblOffset val="100"/>
        <c:noMultiLvlLbl val="0"/>
      </c:catAx>
      <c:valAx>
        <c:axId val="487942935"/>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487943295"/>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[dashboard.xlsx]Preparation!PivotTable11</c:name>
    <c:fmtId val="3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d-ID"/>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Preparation!$B$71</c:f>
              <c:strCache>
                <c:ptCount val="1"/>
                <c:pt idx="0">
                  <c:v>Total</c:v>
                </c:pt>
              </c:strCache>
            </c:strRef>
          </c:tx>
          <c:spPr>
            <a:solidFill>
              <a:schemeClr val="accent1"/>
            </a:solidFill>
            <a:ln>
              <a:noFill/>
            </a:ln>
            <a:effectLst/>
          </c:spPr>
          <c:invertIfNegative val="0"/>
          <c:cat>
            <c:strRef>
              <c:f>Preparation!$A$72:$A$76</c:f>
              <c:strCache>
                <c:ptCount val="4"/>
                <c:pt idx="0">
                  <c:v>Failure</c:v>
                </c:pt>
                <c:pt idx="1">
                  <c:v>Other</c:v>
                </c:pt>
                <c:pt idx="2">
                  <c:v>Success</c:v>
                </c:pt>
                <c:pt idx="3">
                  <c:v>No prior contact</c:v>
                </c:pt>
              </c:strCache>
            </c:strRef>
          </c:cat>
          <c:val>
            <c:numRef>
              <c:f>Preparation!$B$72:$B$76</c:f>
              <c:numCache>
                <c:formatCode>0.00%</c:formatCode>
                <c:ptCount val="4"/>
                <c:pt idx="0">
                  <c:v>0.54313899271704369</c:v>
                </c:pt>
                <c:pt idx="1">
                  <c:v>0.27837077569265156</c:v>
                </c:pt>
                <c:pt idx="2">
                  <c:v>0.17783515086123849</c:v>
                </c:pt>
                <c:pt idx="3">
                  <c:v>6.5508072906631724E-4</c:v>
                </c:pt>
              </c:numCache>
            </c:numRef>
          </c:val>
          <c:extLst>
            <c:ext xmlns:c16="http://schemas.microsoft.com/office/drawing/2014/chart" uri="{C3380CC4-5D6E-409C-BE32-E72D297353CC}">
              <c16:uniqueId val="{00000000-7BF0-4938-878D-6E0F0829CE5F}"/>
            </c:ext>
          </c:extLst>
        </c:ser>
        <c:dLbls>
          <c:showLegendKey val="0"/>
          <c:showVal val="0"/>
          <c:showCatName val="0"/>
          <c:showSerName val="0"/>
          <c:showPercent val="0"/>
          <c:showBubbleSize val="0"/>
        </c:dLbls>
        <c:gapWidth val="219"/>
        <c:overlap val="-27"/>
        <c:axId val="479262855"/>
        <c:axId val="479265375"/>
      </c:barChart>
      <c:catAx>
        <c:axId val="479262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479265375"/>
        <c:crosses val="autoZero"/>
        <c:auto val="1"/>
        <c:lblAlgn val="ctr"/>
        <c:lblOffset val="100"/>
        <c:noMultiLvlLbl val="0"/>
      </c:catAx>
      <c:valAx>
        <c:axId val="47926537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479262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[dashboard.xlsx]Preparation!PivotTable12</c:name>
    <c:fmtId val="3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d-ID"/>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Preparation!$B$86</c:f>
              <c:strCache>
                <c:ptCount val="1"/>
                <c:pt idx="0">
                  <c:v>Total</c:v>
                </c:pt>
              </c:strCache>
            </c:strRef>
          </c:tx>
          <c:spPr>
            <a:solidFill>
              <a:schemeClr val="accent1"/>
            </a:solidFill>
            <a:ln>
              <a:noFill/>
            </a:ln>
            <a:effectLst/>
          </c:spPr>
          <c:invertIfNegative val="0"/>
          <c:cat>
            <c:strRef>
              <c:f>Preparation!$A$87:$A$93</c:f>
              <c:strCache>
                <c:ptCount val="6"/>
                <c:pt idx="0">
                  <c:v>18-27</c:v>
                </c:pt>
                <c:pt idx="1">
                  <c:v>28-37</c:v>
                </c:pt>
                <c:pt idx="2">
                  <c:v>38-47</c:v>
                </c:pt>
                <c:pt idx="3">
                  <c:v>48-57</c:v>
                </c:pt>
                <c:pt idx="4">
                  <c:v>58-67</c:v>
                </c:pt>
                <c:pt idx="5">
                  <c:v>68+</c:v>
                </c:pt>
              </c:strCache>
            </c:strRef>
          </c:cat>
          <c:val>
            <c:numRef>
              <c:f>Preparation!$B$87:$B$93</c:f>
              <c:numCache>
                <c:formatCode>0.0%</c:formatCode>
                <c:ptCount val="6"/>
                <c:pt idx="0">
                  <c:v>0.11388947257827274</c:v>
                </c:pt>
                <c:pt idx="1">
                  <c:v>0.3687749527211599</c:v>
                </c:pt>
                <c:pt idx="2">
                  <c:v>0.21201933179239335</c:v>
                </c:pt>
                <c:pt idx="3">
                  <c:v>0.15087203193948309</c:v>
                </c:pt>
                <c:pt idx="4">
                  <c:v>9.7079218323177133E-2</c:v>
                </c:pt>
                <c:pt idx="5">
                  <c:v>5.7364992645513764E-2</c:v>
                </c:pt>
              </c:numCache>
            </c:numRef>
          </c:val>
          <c:extLst>
            <c:ext xmlns:c16="http://schemas.microsoft.com/office/drawing/2014/chart" uri="{C3380CC4-5D6E-409C-BE32-E72D297353CC}">
              <c16:uniqueId val="{00000000-F358-4F78-B696-FC0B5A8E4D92}"/>
            </c:ext>
          </c:extLst>
        </c:ser>
        <c:dLbls>
          <c:showLegendKey val="0"/>
          <c:showVal val="0"/>
          <c:showCatName val="0"/>
          <c:showSerName val="0"/>
          <c:showPercent val="0"/>
          <c:showBubbleSize val="0"/>
        </c:dLbls>
        <c:gapWidth val="219"/>
        <c:overlap val="-27"/>
        <c:axId val="534018127"/>
        <c:axId val="534016327"/>
      </c:barChart>
      <c:catAx>
        <c:axId val="534018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534016327"/>
        <c:crosses val="autoZero"/>
        <c:auto val="1"/>
        <c:lblAlgn val="ctr"/>
        <c:lblOffset val="100"/>
        <c:noMultiLvlLbl val="0"/>
      </c:catAx>
      <c:valAx>
        <c:axId val="534016327"/>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5340181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[dashboard.xlsx]Preparation!PivotTable13</c:name>
    <c:fmtId val="4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Preparation!$B$102</c:f>
              <c:strCache>
                <c:ptCount val="1"/>
                <c:pt idx="0">
                  <c:v>Subscribed</c:v>
                </c:pt>
              </c:strCache>
            </c:strRef>
          </c:tx>
          <c:spPr>
            <a:solidFill>
              <a:schemeClr val="accent1"/>
            </a:solidFill>
            <a:ln>
              <a:noFill/>
            </a:ln>
            <a:effectLst/>
          </c:spPr>
          <c:invertIfNegative val="0"/>
          <c:cat>
            <c:strRef>
              <c:f>Preparation!$A$103:$A$109</c:f>
              <c:strCache>
                <c:ptCount val="6"/>
                <c:pt idx="0">
                  <c:v>&lt;0</c:v>
                </c:pt>
                <c:pt idx="1">
                  <c:v>0-500</c:v>
                </c:pt>
                <c:pt idx="2">
                  <c:v>500-2K</c:v>
                </c:pt>
                <c:pt idx="3">
                  <c:v>2K-5K</c:v>
                </c:pt>
                <c:pt idx="4">
                  <c:v>5K-10K</c:v>
                </c:pt>
                <c:pt idx="5">
                  <c:v>10K+</c:v>
                </c:pt>
              </c:strCache>
            </c:strRef>
          </c:cat>
          <c:val>
            <c:numRef>
              <c:f>Preparation!$B$103:$B$109</c:f>
              <c:numCache>
                <c:formatCode>General</c:formatCode>
                <c:ptCount val="6"/>
                <c:pt idx="0">
                  <c:v>163</c:v>
                </c:pt>
                <c:pt idx="1">
                  <c:v>1764</c:v>
                </c:pt>
                <c:pt idx="2">
                  <c:v>1520</c:v>
                </c:pt>
                <c:pt idx="3">
                  <c:v>902</c:v>
                </c:pt>
                <c:pt idx="4">
                  <c:v>282</c:v>
                </c:pt>
                <c:pt idx="5">
                  <c:v>128</c:v>
                </c:pt>
              </c:numCache>
            </c:numRef>
          </c:val>
          <c:extLst>
            <c:ext xmlns:c16="http://schemas.microsoft.com/office/drawing/2014/chart" uri="{C3380CC4-5D6E-409C-BE32-E72D297353CC}">
              <c16:uniqueId val="{00000000-61C7-4076-89C5-83294186050E}"/>
            </c:ext>
          </c:extLst>
        </c:ser>
        <c:ser>
          <c:idx val="1"/>
          <c:order val="1"/>
          <c:tx>
            <c:strRef>
              <c:f>Preparation!$C$102</c:f>
              <c:strCache>
                <c:ptCount val="1"/>
                <c:pt idx="0">
                  <c:v>Not Subscribed</c:v>
                </c:pt>
              </c:strCache>
            </c:strRef>
          </c:tx>
          <c:spPr>
            <a:solidFill>
              <a:schemeClr val="accent2"/>
            </a:solidFill>
            <a:ln>
              <a:noFill/>
            </a:ln>
            <a:effectLst/>
          </c:spPr>
          <c:invertIfNegative val="0"/>
          <c:cat>
            <c:strRef>
              <c:f>Preparation!$A$103:$A$109</c:f>
              <c:strCache>
                <c:ptCount val="6"/>
                <c:pt idx="0">
                  <c:v>&lt;0</c:v>
                </c:pt>
                <c:pt idx="1">
                  <c:v>0-500</c:v>
                </c:pt>
                <c:pt idx="2">
                  <c:v>500-2K</c:v>
                </c:pt>
                <c:pt idx="3">
                  <c:v>2K-5K</c:v>
                </c:pt>
                <c:pt idx="4">
                  <c:v>5K-10K</c:v>
                </c:pt>
                <c:pt idx="5">
                  <c:v>10K+</c:v>
                </c:pt>
              </c:strCache>
            </c:strRef>
          </c:cat>
          <c:val>
            <c:numRef>
              <c:f>Preparation!$C$103:$C$109</c:f>
              <c:numCache>
                <c:formatCode>General</c:formatCode>
                <c:ptCount val="6"/>
                <c:pt idx="0">
                  <c:v>2123</c:v>
                </c:pt>
                <c:pt idx="1">
                  <c:v>12384</c:v>
                </c:pt>
                <c:pt idx="2">
                  <c:v>7874</c:v>
                </c:pt>
                <c:pt idx="3">
                  <c:v>3304</c:v>
                </c:pt>
                <c:pt idx="4">
                  <c:v>1233</c:v>
                </c:pt>
                <c:pt idx="5">
                  <c:v>514</c:v>
                </c:pt>
              </c:numCache>
            </c:numRef>
          </c:val>
          <c:extLst>
            <c:ext xmlns:c16="http://schemas.microsoft.com/office/drawing/2014/chart" uri="{C3380CC4-5D6E-409C-BE32-E72D297353CC}">
              <c16:uniqueId val="{00000001-61C7-4076-89C5-83294186050E}"/>
            </c:ext>
          </c:extLst>
        </c:ser>
        <c:dLbls>
          <c:showLegendKey val="0"/>
          <c:showVal val="0"/>
          <c:showCatName val="0"/>
          <c:showSerName val="0"/>
          <c:showPercent val="0"/>
          <c:showBubbleSize val="0"/>
        </c:dLbls>
        <c:gapWidth val="219"/>
        <c:overlap val="-27"/>
        <c:axId val="531113919"/>
        <c:axId val="531111399"/>
      </c:barChart>
      <c:catAx>
        <c:axId val="531113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531111399"/>
        <c:crosses val="autoZero"/>
        <c:auto val="1"/>
        <c:lblAlgn val="ctr"/>
        <c:lblOffset val="100"/>
        <c:noMultiLvlLbl val="0"/>
      </c:catAx>
      <c:valAx>
        <c:axId val="5311113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53111391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d-ID"/>
        </a:p>
      </c:txPr>
    </c:title>
    <c:autoTitleDeleted val="0"/>
    <c:plotArea>
      <c:layout/>
      <c:barChart>
        <c:barDir val="bar"/>
        <c:grouping val="clustered"/>
        <c:varyColors val="0"/>
        <c:ser>
          <c:idx val="0"/>
          <c:order val="0"/>
          <c:spPr>
            <a:solidFill>
              <a:schemeClr val="accent1"/>
            </a:solidFill>
            <a:ln>
              <a:noFill/>
            </a:ln>
            <a:effectLst/>
          </c:spPr>
          <c:invertIfNegative val="0"/>
          <c:cat>
            <c:strRef>
              <c:f>Preparation!$F$25:$F$26</c:f>
              <c:strCache>
                <c:ptCount val="2"/>
                <c:pt idx="0">
                  <c:v>Cellular</c:v>
                </c:pt>
                <c:pt idx="1">
                  <c:v>Telephone</c:v>
                </c:pt>
              </c:strCache>
            </c:strRef>
          </c:cat>
          <c:val>
            <c:numRef>
              <c:f>Preparation!$G$25:$G$26</c:f>
              <c:numCache>
                <c:formatCode>0.0%</c:formatCode>
                <c:ptCount val="2"/>
                <c:pt idx="0">
                  <c:v>0.14918900460986853</c:v>
                </c:pt>
                <c:pt idx="1">
                  <c:v>0.13420509291121818</c:v>
                </c:pt>
              </c:numCache>
            </c:numRef>
          </c:val>
          <c:extLst>
            <c:ext xmlns:c16="http://schemas.microsoft.com/office/drawing/2014/chart" uri="{C3380CC4-5D6E-409C-BE32-E72D297353CC}">
              <c16:uniqueId val="{00000000-9DCC-454F-8D58-081050F280A8}"/>
            </c:ext>
          </c:extLst>
        </c:ser>
        <c:dLbls>
          <c:showLegendKey val="0"/>
          <c:showVal val="0"/>
          <c:showCatName val="0"/>
          <c:showSerName val="0"/>
          <c:showPercent val="0"/>
          <c:showBubbleSize val="0"/>
        </c:dLbls>
        <c:gapWidth val="182"/>
        <c:axId val="642443271"/>
        <c:axId val="642441111"/>
      </c:barChart>
      <c:catAx>
        <c:axId val="6424432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642441111"/>
        <c:crosses val="autoZero"/>
        <c:auto val="1"/>
        <c:lblAlgn val="ctr"/>
        <c:lblOffset val="100"/>
        <c:noMultiLvlLbl val="0"/>
      </c:catAx>
      <c:valAx>
        <c:axId val="642441111"/>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6424432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[dashboard.xlsx]Preparation!PivotTable6</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id-ID" sz="1400" b="1" i="0" u="none" strike="noStrike" baseline="0">
                <a:solidFill>
                  <a:sysClr val="windowText" lastClr="000000"/>
                </a:solidFill>
                <a:effectLst/>
                <a:latin typeface="Roboto Condensed" panose="02000000000000000000" pitchFamily="2" charset="0"/>
                <a:ea typeface="Roboto Condensed" panose="02000000000000000000" pitchFamily="2" charset="0"/>
              </a:rPr>
              <a:t>Monthly Conversion Rate</a:t>
            </a:r>
            <a:endParaRPr lang="id-ID" b="1">
              <a:solidFill>
                <a:sysClr val="windowText" lastClr="000000"/>
              </a:solidFill>
              <a:latin typeface="Roboto Condensed" panose="02000000000000000000" pitchFamily="2" charset="0"/>
              <a:ea typeface="Roboto Condensed" panose="02000000000000000000" pitchFamily="2"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d-ID"/>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A87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mn-lt"/>
                  <a:ea typeface="+mn-ea"/>
                  <a:cs typeface="+mn-cs"/>
                </a:defRPr>
              </a:pPr>
              <a:endParaRPr lang="id-ID"/>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C5C1A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id-ID"/>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C5C1AC"/>
          </a:solidFill>
          <a:ln>
            <a:noFill/>
          </a:ln>
          <a:effectLst/>
        </c:spPr>
        <c:dLbl>
          <c:idx val="0"/>
          <c:layout>
            <c:manualLayout>
              <c:x val="0"/>
              <c:y val="-7.7439281171499744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id-ID"/>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C5C1AC"/>
          </a:solidFill>
          <a:ln>
            <a:noFill/>
          </a:ln>
          <a:effectLst/>
        </c:spPr>
        <c:dLbl>
          <c:idx val="0"/>
          <c:layout>
            <c:manualLayout>
              <c:x val="0"/>
              <c:y val="-9.7904769153388388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id-ID"/>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C5C1AC"/>
          </a:solidFill>
          <a:ln>
            <a:noFill/>
          </a:ln>
          <a:effectLst/>
        </c:spPr>
        <c:dLbl>
          <c:idx val="0"/>
          <c:layout>
            <c:manualLayout>
              <c:x val="0"/>
              <c:y val="-9.1612363086226375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id-ID"/>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C5C1AC"/>
          </a:solidFill>
          <a:ln>
            <a:noFill/>
          </a:ln>
          <a:effectLst/>
        </c:spPr>
        <c:dLbl>
          <c:idx val="0"/>
          <c:layout>
            <c:manualLayout>
              <c:x val="0"/>
              <c:y val="-9.6522213338665938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id-ID"/>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C5C1AC"/>
          </a:solidFill>
          <a:ln>
            <a:noFill/>
          </a:ln>
          <a:effectLst/>
        </c:spPr>
        <c:dLbl>
          <c:idx val="0"/>
          <c:layout>
            <c:manualLayout>
              <c:x val="-1.1967209312834112E-16"/>
              <c:y val="-8.4243997586002345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id-ID"/>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C5C1AC"/>
          </a:solidFill>
          <a:ln>
            <a:noFill/>
          </a:ln>
          <a:effectLst/>
        </c:spPr>
        <c:dLbl>
          <c:idx val="0"/>
          <c:layout>
            <c:manualLayout>
              <c:x val="1.6319110307805404E-3"/>
              <c:y val="-7.2834950264251061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id-ID"/>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C5C1AC"/>
          </a:solidFill>
          <a:ln>
            <a:noFill/>
          </a:ln>
          <a:effectLst/>
        </c:spPr>
        <c:dLbl>
          <c:idx val="0"/>
          <c:layout>
            <c:manualLayout>
              <c:x val="-1.1967209312834112E-16"/>
              <c:y val="-9.3686735326544979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id-ID"/>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8667924300871857E-2"/>
          <c:y val="0.15891629942314336"/>
          <c:w val="0.93405760921937209"/>
          <c:h val="0.71094877457538974"/>
        </c:manualLayout>
      </c:layout>
      <c:barChart>
        <c:barDir val="col"/>
        <c:grouping val="stacked"/>
        <c:varyColors val="0"/>
        <c:ser>
          <c:idx val="0"/>
          <c:order val="0"/>
          <c:tx>
            <c:strRef>
              <c:f>Preparation!$B$8</c:f>
              <c:strCache>
                <c:ptCount val="1"/>
                <c:pt idx="0">
                  <c:v>Subscribed</c:v>
                </c:pt>
              </c:strCache>
            </c:strRef>
          </c:tx>
          <c:spPr>
            <a:solidFill>
              <a:srgbClr val="00A87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mn-lt"/>
                    <a:ea typeface="+mn-ea"/>
                    <a:cs typeface="+mn-cs"/>
                  </a:defRPr>
                </a:pPr>
                <a:endParaRPr lang="id-ID"/>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Preparation!$A$9:$A$21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Preparation!$B$9:$B$21</c:f>
              <c:numCache>
                <c:formatCode>_(* #,##0_);_(* \(#,##0\);_(* "-"??_);_(@_)</c:formatCode>
                <c:ptCount val="12"/>
                <c:pt idx="0">
                  <c:v>141</c:v>
                </c:pt>
                <c:pt idx="1">
                  <c:v>437</c:v>
                </c:pt>
                <c:pt idx="2">
                  <c:v>244</c:v>
                </c:pt>
                <c:pt idx="3">
                  <c:v>572</c:v>
                </c:pt>
                <c:pt idx="4">
                  <c:v>664</c:v>
                </c:pt>
                <c:pt idx="5">
                  <c:v>340</c:v>
                </c:pt>
                <c:pt idx="6">
                  <c:v>616</c:v>
                </c:pt>
                <c:pt idx="7">
                  <c:v>683</c:v>
                </c:pt>
                <c:pt idx="8">
                  <c:v>266</c:v>
                </c:pt>
                <c:pt idx="9">
                  <c:v>306</c:v>
                </c:pt>
                <c:pt idx="10">
                  <c:v>390</c:v>
                </c:pt>
                <c:pt idx="11">
                  <c:v>100</c:v>
                </c:pt>
              </c:numCache>
            </c:numRef>
          </c:val>
          <c:extLst>
            <c:ext xmlns:c16="http://schemas.microsoft.com/office/drawing/2014/chart" uri="{C3380CC4-5D6E-409C-BE32-E72D297353CC}">
              <c16:uniqueId val="{00000007-FBDB-45CD-9E38-003693887372}"/>
            </c:ext>
          </c:extLst>
        </c:ser>
        <c:ser>
          <c:idx val="1"/>
          <c:order val="1"/>
          <c:tx>
            <c:strRef>
              <c:f>Preparation!$C$8</c:f>
              <c:strCache>
                <c:ptCount val="1"/>
                <c:pt idx="0">
                  <c:v>Not Subscribed</c:v>
                </c:pt>
              </c:strCache>
            </c:strRef>
          </c:tx>
          <c:spPr>
            <a:solidFill>
              <a:srgbClr val="C5C1AC"/>
            </a:solidFill>
            <a:ln>
              <a:noFill/>
            </a:ln>
            <a:effectLst/>
          </c:spPr>
          <c:invertIfNegative val="0"/>
          <c:dPt>
            <c:idx val="0"/>
            <c:invertIfNegative val="0"/>
            <c:bubble3D val="0"/>
          </c:dPt>
          <c:dPt>
            <c:idx val="1"/>
            <c:invertIfNegative val="0"/>
            <c:bubble3D val="0"/>
          </c:dPt>
          <c:dPt>
            <c:idx val="2"/>
            <c:invertIfNegative val="0"/>
            <c:bubble3D val="0"/>
          </c:dPt>
          <c:dPt>
            <c:idx val="3"/>
            <c:invertIfNegative val="0"/>
            <c:bubble3D val="0"/>
          </c:dPt>
          <c:dPt>
            <c:idx val="8"/>
            <c:invertIfNegative val="0"/>
            <c:bubble3D val="0"/>
          </c:dPt>
          <c:dPt>
            <c:idx val="9"/>
            <c:invertIfNegative val="0"/>
            <c:bubble3D val="0"/>
          </c:dPt>
          <c:dPt>
            <c:idx val="11"/>
            <c:invertIfNegative val="0"/>
            <c:bubble3D val="0"/>
          </c:dPt>
          <c:dLbls>
            <c:dLbl>
              <c:idx val="0"/>
              <c:layout>
                <c:manualLayout>
                  <c:x val="0"/>
                  <c:y val="-7.7439281171499744E-2"/>
                </c:manualLayout>
              </c:layout>
              <c:dLblPos val="ctr"/>
              <c:showLegendKey val="0"/>
              <c:showVal val="1"/>
              <c:showCatName val="0"/>
              <c:showSerName val="0"/>
              <c:showPercent val="0"/>
              <c:showBubbleSize val="0"/>
              <c:extLst>
                <c:ext xmlns:c15="http://schemas.microsoft.com/office/drawing/2012/chart" uri="{CE6537A1-D6FC-4f65-9D91-7224C49458BB}"/>
              </c:extLst>
            </c:dLbl>
            <c:dLbl>
              <c:idx val="1"/>
              <c:layout>
                <c:manualLayout>
                  <c:x val="0"/>
                  <c:y val="-9.7904769153388388E-2"/>
                </c:manualLayout>
              </c:layout>
              <c:dLblPos val="ctr"/>
              <c:showLegendKey val="0"/>
              <c:showVal val="1"/>
              <c:showCatName val="0"/>
              <c:showSerName val="0"/>
              <c:showPercent val="0"/>
              <c:showBubbleSize val="0"/>
              <c:extLst>
                <c:ext xmlns:c15="http://schemas.microsoft.com/office/drawing/2012/chart" uri="{CE6537A1-D6FC-4f65-9D91-7224C49458BB}"/>
              </c:extLst>
            </c:dLbl>
            <c:dLbl>
              <c:idx val="2"/>
              <c:layout>
                <c:manualLayout>
                  <c:x val="0"/>
                  <c:y val="-9.1612363086226375E-2"/>
                </c:manualLayout>
              </c:layout>
              <c:dLblPos val="ctr"/>
              <c:showLegendKey val="0"/>
              <c:showVal val="1"/>
              <c:showCatName val="0"/>
              <c:showSerName val="0"/>
              <c:showPercent val="0"/>
              <c:showBubbleSize val="0"/>
              <c:extLst>
                <c:ext xmlns:c15="http://schemas.microsoft.com/office/drawing/2012/chart" uri="{CE6537A1-D6FC-4f65-9D91-7224C49458BB}"/>
              </c:extLst>
            </c:dLbl>
            <c:dLbl>
              <c:idx val="3"/>
              <c:layout>
                <c:manualLayout>
                  <c:x val="0"/>
                  <c:y val="-9.6522213338665938E-2"/>
                </c:manualLayout>
              </c:layout>
              <c:dLblPos val="ctr"/>
              <c:showLegendKey val="0"/>
              <c:showVal val="1"/>
              <c:showCatName val="0"/>
              <c:showSerName val="0"/>
              <c:showPercent val="0"/>
              <c:showBubbleSize val="0"/>
              <c:extLst>
                <c:ext xmlns:c15="http://schemas.microsoft.com/office/drawing/2012/chart" uri="{CE6537A1-D6FC-4f65-9D91-7224C49458BB}"/>
              </c:extLst>
            </c:dLbl>
            <c:dLbl>
              <c:idx val="8"/>
              <c:layout>
                <c:manualLayout>
                  <c:x val="-1.1967209312834112E-16"/>
                  <c:y val="-8.4243997586002345E-2"/>
                </c:manualLayout>
              </c:layout>
              <c:dLblPos val="ctr"/>
              <c:showLegendKey val="0"/>
              <c:showVal val="1"/>
              <c:showCatName val="0"/>
              <c:showSerName val="0"/>
              <c:showPercent val="0"/>
              <c:showBubbleSize val="0"/>
              <c:extLst>
                <c:ext xmlns:c15="http://schemas.microsoft.com/office/drawing/2012/chart" uri="{CE6537A1-D6FC-4f65-9D91-7224C49458BB}"/>
              </c:extLst>
            </c:dLbl>
            <c:dLbl>
              <c:idx val="9"/>
              <c:layout>
                <c:manualLayout>
                  <c:x val="1.6319110307805404E-3"/>
                  <c:y val="-7.2834950264251061E-2"/>
                </c:manualLayout>
              </c:layout>
              <c:dLblPos val="ctr"/>
              <c:showLegendKey val="0"/>
              <c:showVal val="1"/>
              <c:showCatName val="0"/>
              <c:showSerName val="0"/>
              <c:showPercent val="0"/>
              <c:showBubbleSize val="0"/>
              <c:extLst>
                <c:ext xmlns:c15="http://schemas.microsoft.com/office/drawing/2012/chart" uri="{CE6537A1-D6FC-4f65-9D91-7224C49458BB}"/>
              </c:extLst>
            </c:dLbl>
            <c:dLbl>
              <c:idx val="11"/>
              <c:layout>
                <c:manualLayout>
                  <c:x val="-1.1967209312834112E-16"/>
                  <c:y val="-9.3686735326544979E-2"/>
                </c:manualLayout>
              </c:layout>
              <c:dLblPos val="ctr"/>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id-ID"/>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Preparation!$A$9:$A$21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Preparation!$C$9:$C$21</c:f>
              <c:numCache>
                <c:formatCode>_(* #,##0_);_(* \(#,##0\);_(* "-"??_);_(@_)</c:formatCode>
                <c:ptCount val="12"/>
                <c:pt idx="0">
                  <c:v>1253</c:v>
                </c:pt>
                <c:pt idx="1">
                  <c:v>2199</c:v>
                </c:pt>
                <c:pt idx="2">
                  <c:v>226</c:v>
                </c:pt>
                <c:pt idx="3">
                  <c:v>2354</c:v>
                </c:pt>
                <c:pt idx="4">
                  <c:v>5127</c:v>
                </c:pt>
                <c:pt idx="5">
                  <c:v>469</c:v>
                </c:pt>
                <c:pt idx="6">
                  <c:v>6003</c:v>
                </c:pt>
                <c:pt idx="7">
                  <c:v>5513</c:v>
                </c:pt>
                <c:pt idx="8">
                  <c:v>266</c:v>
                </c:pt>
                <c:pt idx="9">
                  <c:v>382</c:v>
                </c:pt>
                <c:pt idx="10">
                  <c:v>3529</c:v>
                </c:pt>
                <c:pt idx="11">
                  <c:v>111</c:v>
                </c:pt>
              </c:numCache>
            </c:numRef>
          </c:val>
          <c:extLst>
            <c:ext xmlns:c16="http://schemas.microsoft.com/office/drawing/2014/chart" uri="{C3380CC4-5D6E-409C-BE32-E72D297353CC}">
              <c16:uniqueId val="{00000008-FBDB-45CD-9E38-003693887372}"/>
            </c:ext>
          </c:extLst>
        </c:ser>
        <c:dLbls>
          <c:dLblPos val="ctr"/>
          <c:showLegendKey val="0"/>
          <c:showVal val="1"/>
          <c:showCatName val="0"/>
          <c:showSerName val="0"/>
          <c:showPercent val="0"/>
          <c:showBubbleSize val="0"/>
        </c:dLbls>
        <c:gapWidth val="80"/>
        <c:overlap val="100"/>
        <c:axId val="137882287"/>
        <c:axId val="137878327"/>
      </c:barChart>
      <c:catAx>
        <c:axId val="137882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ln w="0">
                  <a:noFill/>
                </a:ln>
                <a:solidFill>
                  <a:schemeClr val="tx1"/>
                </a:solidFill>
                <a:latin typeface="+mn-lt"/>
                <a:ea typeface="+mn-ea"/>
                <a:cs typeface="+mn-cs"/>
              </a:defRPr>
            </a:pPr>
            <a:endParaRPr lang="id-ID"/>
          </a:p>
        </c:txPr>
        <c:crossAx val="137878327"/>
        <c:crosses val="autoZero"/>
        <c:auto val="1"/>
        <c:lblAlgn val="ctr"/>
        <c:lblOffset val="100"/>
        <c:noMultiLvlLbl val="0"/>
      </c:catAx>
      <c:valAx>
        <c:axId val="137878327"/>
        <c:scaling>
          <c:orientation val="minMax"/>
        </c:scaling>
        <c:delete val="0"/>
        <c:axPos val="l"/>
        <c:majorGridlines>
          <c:spPr>
            <a:ln w="9525" cap="flat" cmpd="sng" algn="ctr">
              <a:solidFill>
                <a:schemeClr val="tx1">
                  <a:lumMod val="15000"/>
                  <a:lumOff val="85000"/>
                </a:schemeClr>
              </a:solidFill>
              <a:round/>
            </a:ln>
            <a:effectLst/>
          </c:spPr>
        </c:majorGridlines>
        <c:numFmt formatCode="#,\k" sourceLinked="0"/>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ln>
                  <a:noFill/>
                </a:ln>
                <a:solidFill>
                  <a:schemeClr val="tx1"/>
                </a:solidFill>
                <a:latin typeface="+mn-lt"/>
                <a:ea typeface="+mn-ea"/>
                <a:cs typeface="+mn-cs"/>
              </a:defRPr>
            </a:pPr>
            <a:endParaRPr lang="id-ID"/>
          </a:p>
        </c:txPr>
        <c:crossAx val="137882287"/>
        <c:crosses val="autoZero"/>
        <c:crossBetween val="between"/>
      </c:valAx>
      <c:spPr>
        <a:noFill/>
        <a:ln>
          <a:noFill/>
        </a:ln>
        <a:effectLst/>
      </c:spPr>
    </c:plotArea>
    <c:legend>
      <c:legendPos val="b"/>
      <c:layout>
        <c:manualLayout>
          <c:xMode val="edge"/>
          <c:yMode val="edge"/>
          <c:x val="0.78210285309293393"/>
          <c:y val="4.5227658691780248E-2"/>
          <c:w val="0.17239210674697622"/>
          <c:h val="7.7422887769183033E-2"/>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95000"/>
                  <a:lumOff val="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[dashboard.xlsx]Preparation!PivotTable12</c:name>
    <c:fmtId val="4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id-ID">
                <a:solidFill>
                  <a:sysClr val="windowText" lastClr="000000"/>
                </a:solidFill>
              </a:rPr>
              <a:t>Age Group Conversion Rate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id-ID"/>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id-ID"/>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hade val="70000"/>
            </a:schemeClr>
          </a:solidFill>
          <a:ln>
            <a:noFill/>
          </a:ln>
          <a:effectLst/>
        </c:spPr>
      </c:pivotFmt>
      <c:pivotFmt>
        <c:idx val="4"/>
        <c:spPr>
          <a:solidFill>
            <a:schemeClr val="accent2"/>
          </a:solidFill>
          <a:ln>
            <a:noFill/>
          </a:ln>
          <a:effectLst/>
        </c:spPr>
      </c:pivotFmt>
      <c:pivotFmt>
        <c:idx val="5"/>
        <c:spPr>
          <a:solidFill>
            <a:schemeClr val="accent2">
              <a:shade val="50000"/>
            </a:schemeClr>
          </a:solidFill>
          <a:ln>
            <a:noFill/>
          </a:ln>
          <a:effectLst/>
        </c:spPr>
      </c:pivotFmt>
      <c:pivotFmt>
        <c:idx val="6"/>
        <c:spPr>
          <a:solidFill>
            <a:schemeClr val="accent2">
              <a:tint val="90000"/>
            </a:schemeClr>
          </a:solidFill>
          <a:ln>
            <a:noFill/>
          </a:ln>
          <a:effectLst/>
        </c:spPr>
      </c:pivotFmt>
      <c:pivotFmt>
        <c:idx val="7"/>
        <c:spPr>
          <a:solidFill>
            <a:schemeClr val="accent2">
              <a:tint val="70000"/>
            </a:schemeClr>
          </a:solidFill>
          <a:ln>
            <a:noFill/>
          </a:ln>
          <a:effectLst/>
        </c:spPr>
      </c:pivotFmt>
      <c:pivotFmt>
        <c:idx val="8"/>
        <c:spPr>
          <a:solidFill>
            <a:schemeClr val="accent2">
              <a:tint val="50000"/>
            </a:schemeClr>
          </a:solidFill>
          <a:ln>
            <a:noFill/>
          </a:ln>
          <a:effectLst/>
        </c:spPr>
      </c:pivotFmt>
    </c:pivotFmts>
    <c:plotArea>
      <c:layout>
        <c:manualLayout>
          <c:layoutTarget val="inner"/>
          <c:xMode val="edge"/>
          <c:yMode val="edge"/>
          <c:x val="7.1324992298065437E-2"/>
          <c:y val="0.25683618854985246"/>
          <c:w val="0.61926111833970743"/>
          <c:h val="0.66918690273961856"/>
        </c:manualLayout>
      </c:layout>
      <c:pieChart>
        <c:varyColors val="1"/>
        <c:ser>
          <c:idx val="0"/>
          <c:order val="0"/>
          <c:tx>
            <c:strRef>
              <c:f>Preparation!$B$86</c:f>
              <c:strCache>
                <c:ptCount val="1"/>
                <c:pt idx="0">
                  <c:v>Total</c:v>
                </c:pt>
              </c:strCache>
            </c:strRef>
          </c:tx>
          <c:dPt>
            <c:idx val="0"/>
            <c:bubble3D val="0"/>
            <c:spPr>
              <a:solidFill>
                <a:schemeClr val="accent2">
                  <a:shade val="50000"/>
                </a:schemeClr>
              </a:solidFill>
              <a:ln>
                <a:noFill/>
              </a:ln>
              <a:effectLst/>
            </c:spPr>
          </c:dPt>
          <c:dPt>
            <c:idx val="1"/>
            <c:bubble3D val="0"/>
            <c:spPr>
              <a:solidFill>
                <a:schemeClr val="accent2">
                  <a:shade val="70000"/>
                </a:schemeClr>
              </a:solidFill>
              <a:ln>
                <a:noFill/>
              </a:ln>
              <a:effectLst/>
            </c:spPr>
          </c:dPt>
          <c:dPt>
            <c:idx val="2"/>
            <c:bubble3D val="0"/>
            <c:spPr>
              <a:solidFill>
                <a:schemeClr val="accent2">
                  <a:shade val="90000"/>
                </a:schemeClr>
              </a:solidFill>
              <a:ln>
                <a:noFill/>
              </a:ln>
              <a:effectLst/>
            </c:spPr>
            <c:extLst>
              <c:ext xmlns:c16="http://schemas.microsoft.com/office/drawing/2014/chart" uri="{C3380CC4-5D6E-409C-BE32-E72D297353CC}">
                <c16:uniqueId val="{00000001-7CE1-4559-B28E-FDFA47B3F8BA}"/>
              </c:ext>
            </c:extLst>
          </c:dPt>
          <c:dPt>
            <c:idx val="3"/>
            <c:bubble3D val="0"/>
            <c:spPr>
              <a:solidFill>
                <a:schemeClr val="accent2">
                  <a:tint val="90000"/>
                </a:schemeClr>
              </a:solidFill>
              <a:ln>
                <a:noFill/>
              </a:ln>
              <a:effectLst/>
            </c:spPr>
          </c:dPt>
          <c:dPt>
            <c:idx val="4"/>
            <c:bubble3D val="0"/>
            <c:spPr>
              <a:solidFill>
                <a:schemeClr val="accent2">
                  <a:tint val="70000"/>
                </a:schemeClr>
              </a:solidFill>
              <a:ln>
                <a:noFill/>
              </a:ln>
              <a:effectLst/>
            </c:spPr>
          </c:dPt>
          <c:dPt>
            <c:idx val="5"/>
            <c:bubble3D val="0"/>
            <c:spPr>
              <a:solidFill>
                <a:schemeClr val="accent2">
                  <a:tint val="50000"/>
                </a:schemeClr>
              </a:solidFill>
              <a:ln>
                <a:noFill/>
              </a:ln>
              <a:effectLst/>
            </c:spPr>
          </c:dPt>
          <c:dLbls>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id-ID"/>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Preparation!$A$87:$A$93</c:f>
              <c:strCache>
                <c:ptCount val="6"/>
                <c:pt idx="0">
                  <c:v>18-27</c:v>
                </c:pt>
                <c:pt idx="1">
                  <c:v>28-37</c:v>
                </c:pt>
                <c:pt idx="2">
                  <c:v>38-47</c:v>
                </c:pt>
                <c:pt idx="3">
                  <c:v>48-57</c:v>
                </c:pt>
                <c:pt idx="4">
                  <c:v>58-67</c:v>
                </c:pt>
                <c:pt idx="5">
                  <c:v>68+</c:v>
                </c:pt>
              </c:strCache>
            </c:strRef>
          </c:cat>
          <c:val>
            <c:numRef>
              <c:f>Preparation!$B$87:$B$93</c:f>
              <c:numCache>
                <c:formatCode>0.0%</c:formatCode>
                <c:ptCount val="6"/>
                <c:pt idx="0">
                  <c:v>0.11388947257827274</c:v>
                </c:pt>
                <c:pt idx="1">
                  <c:v>0.3687749527211599</c:v>
                </c:pt>
                <c:pt idx="2">
                  <c:v>0.21201933179239335</c:v>
                </c:pt>
                <c:pt idx="3">
                  <c:v>0.15087203193948309</c:v>
                </c:pt>
                <c:pt idx="4">
                  <c:v>9.7079218323177133E-2</c:v>
                </c:pt>
                <c:pt idx="5">
                  <c:v>5.7364992645513764E-2</c:v>
                </c:pt>
              </c:numCache>
            </c:numRef>
          </c:val>
          <c:extLst>
            <c:ext xmlns:c16="http://schemas.microsoft.com/office/drawing/2014/chart" uri="{C3380CC4-5D6E-409C-BE32-E72D297353CC}">
              <c16:uniqueId val="{00000000-E95E-464E-83A2-B40AD4224B3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i="0" baseline="0"/>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[dashboard.xlsx]Preparation!PivotTable13</c:name>
    <c:fmtId val="4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id-ID">
                <a:solidFill>
                  <a:sysClr val="windowText" lastClr="000000"/>
                </a:solidFill>
              </a:rPr>
              <a:t>Balance Tier vs. Subscription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id-ID"/>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A873"/>
          </a:solidFill>
          <a:ln>
            <a:noFill/>
          </a:ln>
          <a:effectLst/>
        </c:spPr>
        <c:marker>
          <c:symbol val="none"/>
        </c:marker>
        <c:dLbl>
          <c:idx val="0"/>
          <c:numFmt formatCode="#,##0" sourceLinked="0"/>
          <c:spPr>
            <a:noFill/>
            <a:ln>
              <a:noFill/>
            </a:ln>
            <a:effectLst/>
          </c:spPr>
          <c:txPr>
            <a:bodyPr rot="0" spcFirstLastPara="1" vertOverflow="ellipsis" vert="horz" wrap="square" anchor="ctr" anchorCtr="1"/>
            <a:lstStyle/>
            <a:p>
              <a:pPr>
                <a:defRPr sz="1200" b="1"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C5C1AC"/>
          </a:solidFill>
          <a:ln>
            <a:noFill/>
          </a:ln>
          <a:effectLst/>
        </c:spPr>
        <c:marker>
          <c:symbol val="none"/>
        </c:marker>
        <c:dLbl>
          <c:idx val="0"/>
          <c:numFmt formatCode="#,##0" sourceLinked="0"/>
          <c:spPr>
            <a:noFill/>
            <a:ln>
              <a:noFill/>
            </a:ln>
            <a:effectLst/>
          </c:spPr>
          <c:txPr>
            <a:bodyPr rot="0" spcFirstLastPara="1" vertOverflow="ellipsis" vert="horz" wrap="square" anchor="ctr" anchorCtr="1"/>
            <a:lstStyle/>
            <a:p>
              <a:pPr>
                <a:defRPr sz="1200" b="1"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3068538124941351E-2"/>
          <c:y val="0.22838055318242403"/>
          <c:w val="0.90141864761233992"/>
          <c:h val="0.6384204961572767"/>
        </c:manualLayout>
      </c:layout>
      <c:barChart>
        <c:barDir val="col"/>
        <c:grouping val="clustered"/>
        <c:varyColors val="0"/>
        <c:ser>
          <c:idx val="0"/>
          <c:order val="0"/>
          <c:tx>
            <c:strRef>
              <c:f>Preparation!$B$102</c:f>
              <c:strCache>
                <c:ptCount val="1"/>
                <c:pt idx="0">
                  <c:v>Subscribed</c:v>
                </c:pt>
              </c:strCache>
            </c:strRef>
          </c:tx>
          <c:spPr>
            <a:solidFill>
              <a:srgbClr val="00A873"/>
            </a:solidFill>
            <a:ln>
              <a:noFill/>
            </a:ln>
            <a:effectLst/>
          </c:spPr>
          <c:invertIfNegative val="0"/>
          <c:dLbls>
            <c:numFmt formatCode="#,##0" sourceLinked="0"/>
            <c:spPr>
              <a:noFill/>
              <a:ln>
                <a:noFill/>
              </a:ln>
              <a:effectLst/>
            </c:spPr>
            <c:txPr>
              <a:bodyPr rot="0" spcFirstLastPara="1" vertOverflow="ellipsis" vert="horz" wrap="square" anchor="ctr" anchorCtr="1"/>
              <a:lstStyle/>
              <a:p>
                <a:pPr>
                  <a:defRPr sz="1200" b="1"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Preparation!$A$103:$A$109</c:f>
              <c:strCache>
                <c:ptCount val="6"/>
                <c:pt idx="0">
                  <c:v>&lt;0</c:v>
                </c:pt>
                <c:pt idx="1">
                  <c:v>0-500</c:v>
                </c:pt>
                <c:pt idx="2">
                  <c:v>500-2K</c:v>
                </c:pt>
                <c:pt idx="3">
                  <c:v>2K-5K</c:v>
                </c:pt>
                <c:pt idx="4">
                  <c:v>5K-10K</c:v>
                </c:pt>
                <c:pt idx="5">
                  <c:v>10K+</c:v>
                </c:pt>
              </c:strCache>
            </c:strRef>
          </c:cat>
          <c:val>
            <c:numRef>
              <c:f>Preparation!$B$103:$B$109</c:f>
              <c:numCache>
                <c:formatCode>General</c:formatCode>
                <c:ptCount val="6"/>
                <c:pt idx="0">
                  <c:v>163</c:v>
                </c:pt>
                <c:pt idx="1">
                  <c:v>1764</c:v>
                </c:pt>
                <c:pt idx="2">
                  <c:v>1520</c:v>
                </c:pt>
                <c:pt idx="3">
                  <c:v>902</c:v>
                </c:pt>
                <c:pt idx="4">
                  <c:v>282</c:v>
                </c:pt>
                <c:pt idx="5">
                  <c:v>128</c:v>
                </c:pt>
              </c:numCache>
            </c:numRef>
          </c:val>
          <c:extLst>
            <c:ext xmlns:c16="http://schemas.microsoft.com/office/drawing/2014/chart" uri="{C3380CC4-5D6E-409C-BE32-E72D297353CC}">
              <c16:uniqueId val="{00000000-9A99-4051-8AA6-43DF7369D002}"/>
            </c:ext>
          </c:extLst>
        </c:ser>
        <c:ser>
          <c:idx val="1"/>
          <c:order val="1"/>
          <c:tx>
            <c:strRef>
              <c:f>Preparation!$C$102</c:f>
              <c:strCache>
                <c:ptCount val="1"/>
                <c:pt idx="0">
                  <c:v>Not Subscribed</c:v>
                </c:pt>
              </c:strCache>
            </c:strRef>
          </c:tx>
          <c:spPr>
            <a:solidFill>
              <a:srgbClr val="C5C1AC"/>
            </a:solidFill>
            <a:ln>
              <a:noFill/>
            </a:ln>
            <a:effectLst/>
          </c:spPr>
          <c:invertIfNegative val="0"/>
          <c:dLbls>
            <c:numFmt formatCode="#,##0" sourceLinked="0"/>
            <c:spPr>
              <a:noFill/>
              <a:ln>
                <a:noFill/>
              </a:ln>
              <a:effectLst/>
            </c:spPr>
            <c:txPr>
              <a:bodyPr rot="0" spcFirstLastPara="1" vertOverflow="ellipsis" vert="horz" wrap="square" anchor="ctr" anchorCtr="1"/>
              <a:lstStyle/>
              <a:p>
                <a:pPr>
                  <a:defRPr sz="1200" b="1"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Preparation!$A$103:$A$109</c:f>
              <c:strCache>
                <c:ptCount val="6"/>
                <c:pt idx="0">
                  <c:v>&lt;0</c:v>
                </c:pt>
                <c:pt idx="1">
                  <c:v>0-500</c:v>
                </c:pt>
                <c:pt idx="2">
                  <c:v>500-2K</c:v>
                </c:pt>
                <c:pt idx="3">
                  <c:v>2K-5K</c:v>
                </c:pt>
                <c:pt idx="4">
                  <c:v>5K-10K</c:v>
                </c:pt>
                <c:pt idx="5">
                  <c:v>10K+</c:v>
                </c:pt>
              </c:strCache>
            </c:strRef>
          </c:cat>
          <c:val>
            <c:numRef>
              <c:f>Preparation!$C$103:$C$109</c:f>
              <c:numCache>
                <c:formatCode>General</c:formatCode>
                <c:ptCount val="6"/>
                <c:pt idx="0">
                  <c:v>2123</c:v>
                </c:pt>
                <c:pt idx="1">
                  <c:v>12384</c:v>
                </c:pt>
                <c:pt idx="2">
                  <c:v>7874</c:v>
                </c:pt>
                <c:pt idx="3">
                  <c:v>3304</c:v>
                </c:pt>
                <c:pt idx="4">
                  <c:v>1233</c:v>
                </c:pt>
                <c:pt idx="5">
                  <c:v>514</c:v>
                </c:pt>
              </c:numCache>
            </c:numRef>
          </c:val>
          <c:extLst>
            <c:ext xmlns:c16="http://schemas.microsoft.com/office/drawing/2014/chart" uri="{C3380CC4-5D6E-409C-BE32-E72D297353CC}">
              <c16:uniqueId val="{00000001-9A99-4051-8AA6-43DF7369D002}"/>
            </c:ext>
          </c:extLst>
        </c:ser>
        <c:dLbls>
          <c:dLblPos val="outEnd"/>
          <c:showLegendKey val="0"/>
          <c:showVal val="1"/>
          <c:showCatName val="0"/>
          <c:showSerName val="0"/>
          <c:showPercent val="0"/>
          <c:showBubbleSize val="0"/>
        </c:dLbls>
        <c:gapWidth val="43"/>
        <c:overlap val="-15"/>
        <c:axId val="531113919"/>
        <c:axId val="531111399"/>
      </c:barChart>
      <c:catAx>
        <c:axId val="531113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id-ID"/>
          </a:p>
        </c:txPr>
        <c:crossAx val="531111399"/>
        <c:crosses val="autoZero"/>
        <c:auto val="1"/>
        <c:lblAlgn val="ctr"/>
        <c:lblOffset val="100"/>
        <c:noMultiLvlLbl val="0"/>
      </c:catAx>
      <c:valAx>
        <c:axId val="531111399"/>
        <c:scaling>
          <c:orientation val="minMax"/>
          <c:max val="18000"/>
          <c:min val="0"/>
        </c:scaling>
        <c:delete val="0"/>
        <c:axPos val="l"/>
        <c:majorGridlines>
          <c:spPr>
            <a:ln w="9525" cap="flat" cmpd="sng" algn="ctr">
              <a:solidFill>
                <a:schemeClr val="tx1">
                  <a:lumMod val="15000"/>
                  <a:lumOff val="85000"/>
                </a:schemeClr>
              </a:solidFill>
              <a:round/>
            </a:ln>
            <a:effectLst/>
          </c:spPr>
        </c:majorGridlines>
        <c:numFmt formatCode="#,\k" sourceLinked="0"/>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id-ID"/>
          </a:p>
        </c:txPr>
        <c:crossAx val="531113919"/>
        <c:crosses val="autoZero"/>
        <c:crossBetween val="between"/>
      </c:valAx>
      <c:spPr>
        <a:noFill/>
        <a:ln>
          <a:noFill/>
        </a:ln>
        <a:effectLst/>
      </c:spPr>
    </c:plotArea>
    <c:legend>
      <c:legendPos val="t"/>
      <c:layout>
        <c:manualLayout>
          <c:xMode val="edge"/>
          <c:yMode val="edge"/>
          <c:x val="0.62857518010086011"/>
          <c:y val="0.17955497392772465"/>
          <c:w val="0.36604480900568892"/>
          <c:h val="9.3750287072360619E-2"/>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i="0" baseline="0"/>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[dashboard.xlsx]Preparation!PivotTable9</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id-ID" b="1" i="0">
                <a:solidFill>
                  <a:sysClr val="windowText" lastClr="000000"/>
                </a:solidFill>
                <a:effectLst/>
                <a:latin typeface="Roboto Condensed" panose="02000000000000000000" pitchFamily="2" charset="0"/>
                <a:ea typeface="Roboto Condensed" panose="02000000000000000000" pitchFamily="2" charset="0"/>
              </a:rPr>
              <a:t>Conversion by Job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d-ID"/>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Preparation!$B$37</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Preparation!$A$38:$A$43</c:f>
              <c:strCache>
                <c:ptCount val="5"/>
                <c:pt idx="0">
                  <c:v>Management</c:v>
                </c:pt>
                <c:pt idx="1">
                  <c:v>Technician</c:v>
                </c:pt>
                <c:pt idx="2">
                  <c:v>Admin.</c:v>
                </c:pt>
                <c:pt idx="3">
                  <c:v>Blue-Collar</c:v>
                </c:pt>
                <c:pt idx="4">
                  <c:v>Retired</c:v>
                </c:pt>
              </c:strCache>
            </c:strRef>
          </c:cat>
          <c:val>
            <c:numRef>
              <c:f>Preparation!$B$38:$B$43</c:f>
              <c:numCache>
                <c:formatCode>0.0%</c:formatCode>
                <c:ptCount val="5"/>
                <c:pt idx="0">
                  <c:v>0.33825578155475061</c:v>
                </c:pt>
                <c:pt idx="1">
                  <c:v>0.21120089161326275</c:v>
                </c:pt>
                <c:pt idx="2">
                  <c:v>0.15881861242685985</c:v>
                </c:pt>
                <c:pt idx="3">
                  <c:v>0.15380328782390637</c:v>
                </c:pt>
                <c:pt idx="4">
                  <c:v>0.13792142658122039</c:v>
                </c:pt>
              </c:numCache>
            </c:numRef>
          </c:val>
          <c:extLst>
            <c:ext xmlns:c16="http://schemas.microsoft.com/office/drawing/2014/chart" uri="{C3380CC4-5D6E-409C-BE32-E72D297353CC}">
              <c16:uniqueId val="{00000000-FCD0-4819-AECD-902BB4B221A8}"/>
            </c:ext>
          </c:extLst>
        </c:ser>
        <c:dLbls>
          <c:dLblPos val="outEnd"/>
          <c:showLegendKey val="0"/>
          <c:showVal val="1"/>
          <c:showCatName val="0"/>
          <c:showSerName val="0"/>
          <c:showPercent val="0"/>
          <c:showBubbleSize val="0"/>
        </c:dLbls>
        <c:gapWidth val="70"/>
        <c:axId val="132283887"/>
        <c:axId val="132287487"/>
      </c:barChart>
      <c:catAx>
        <c:axId val="132283887"/>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id-ID"/>
          </a:p>
        </c:txPr>
        <c:crossAx val="132287487"/>
        <c:crosses val="autoZero"/>
        <c:auto val="1"/>
        <c:lblAlgn val="ctr"/>
        <c:lblOffset val="100"/>
        <c:noMultiLvlLbl val="0"/>
      </c:catAx>
      <c:valAx>
        <c:axId val="132287487"/>
        <c:scaling>
          <c:orientation val="minMax"/>
        </c:scaling>
        <c:delete val="0"/>
        <c:axPos val="t"/>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high"/>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id-ID"/>
          </a:p>
        </c:txPr>
        <c:crossAx val="1322838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[dashboard.xlsx]Preparation!PivotTable11</c:name>
    <c:fmtId val="3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id-ID">
                <a:solidFill>
                  <a:sysClr val="windowText" lastClr="000000"/>
                </a:solidFill>
              </a:rPr>
              <a:t>Previous Campaign Outcome</a:t>
            </a:r>
            <a:endParaRPr lang="en-US">
              <a:solidFill>
                <a:sysClr val="windowText" lastClr="00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200" b="1"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A873"/>
          </a:solidFill>
          <a:ln>
            <a:noFill/>
          </a:ln>
          <a:effectLst/>
        </c:spPr>
      </c:pivotFmt>
      <c:pivotFmt>
        <c:idx val="4"/>
        <c:spPr>
          <a:solidFill>
            <a:srgbClr val="C5C1AC"/>
          </a:solidFill>
          <a:ln>
            <a:noFill/>
          </a:ln>
          <a:effectLst/>
        </c:spPr>
      </c:pivotFmt>
      <c:pivotFmt>
        <c:idx val="5"/>
        <c:spPr>
          <a:solidFill>
            <a:srgbClr val="C5C1AC"/>
          </a:solidFill>
          <a:ln>
            <a:noFill/>
          </a:ln>
          <a:effectLst/>
        </c:spPr>
      </c:pivotFmt>
    </c:pivotFmts>
    <c:plotArea>
      <c:layout/>
      <c:barChart>
        <c:barDir val="col"/>
        <c:grouping val="clustered"/>
        <c:varyColors val="0"/>
        <c:ser>
          <c:idx val="0"/>
          <c:order val="0"/>
          <c:tx>
            <c:strRef>
              <c:f>Preparation!$B$71</c:f>
              <c:strCache>
                <c:ptCount val="1"/>
                <c:pt idx="0">
                  <c:v>Total</c:v>
                </c:pt>
              </c:strCache>
            </c:strRef>
          </c:tx>
          <c:spPr>
            <a:solidFill>
              <a:schemeClr val="accent1"/>
            </a:solidFill>
            <a:ln>
              <a:noFill/>
            </a:ln>
            <a:effectLst/>
          </c:spPr>
          <c:invertIfNegative val="0"/>
          <c:dPt>
            <c:idx val="0"/>
            <c:invertIfNegative val="0"/>
            <c:bubble3D val="0"/>
            <c:spPr>
              <a:solidFill>
                <a:srgbClr val="C5C1AC"/>
              </a:solidFill>
              <a:ln>
                <a:noFill/>
              </a:ln>
              <a:effectLst/>
            </c:spPr>
            <c:extLst>
              <c:ext xmlns:c16="http://schemas.microsoft.com/office/drawing/2014/chart" uri="{C3380CC4-5D6E-409C-BE32-E72D297353CC}">
                <c16:uniqueId val="{00000002-AD99-4492-80BF-FE6294E95677}"/>
              </c:ext>
            </c:extLst>
          </c:dPt>
          <c:dPt>
            <c:idx val="1"/>
            <c:invertIfNegative val="0"/>
            <c:bubble3D val="0"/>
            <c:spPr>
              <a:solidFill>
                <a:srgbClr val="C5C1AC"/>
              </a:solidFill>
              <a:ln>
                <a:noFill/>
              </a:ln>
              <a:effectLst/>
            </c:spPr>
            <c:extLst>
              <c:ext xmlns:c16="http://schemas.microsoft.com/office/drawing/2014/chart" uri="{C3380CC4-5D6E-409C-BE32-E72D297353CC}">
                <c16:uniqueId val="{00000001-AD99-4492-80BF-FE6294E95677}"/>
              </c:ext>
            </c:extLst>
          </c:dPt>
          <c:dPt>
            <c:idx val="2"/>
            <c:invertIfNegative val="0"/>
            <c:bubble3D val="0"/>
            <c:spPr>
              <a:solidFill>
                <a:srgbClr val="00A873"/>
              </a:solidFill>
              <a:ln>
                <a:noFill/>
              </a:ln>
              <a:effectLst/>
            </c:spPr>
            <c:extLst>
              <c:ext xmlns:c16="http://schemas.microsoft.com/office/drawing/2014/chart" uri="{C3380CC4-5D6E-409C-BE32-E72D297353CC}">
                <c16:uniqueId val="{00000000-AD99-4492-80BF-FE6294E95677}"/>
              </c:ext>
            </c:extLst>
          </c:dPt>
          <c:dLbls>
            <c:spPr>
              <a:noFill/>
              <a:ln>
                <a:noFill/>
              </a:ln>
              <a:effectLst/>
            </c:spPr>
            <c:txPr>
              <a:bodyPr rot="0" spcFirstLastPara="1" vertOverflow="ellipsis" vert="horz" wrap="square" anchor="ctr" anchorCtr="1"/>
              <a:lstStyle/>
              <a:p>
                <a:pPr>
                  <a:defRPr sz="1200" b="1"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Preparation!$A$72:$A$76</c:f>
              <c:strCache>
                <c:ptCount val="4"/>
                <c:pt idx="0">
                  <c:v>Failure</c:v>
                </c:pt>
                <c:pt idx="1">
                  <c:v>Other</c:v>
                </c:pt>
                <c:pt idx="2">
                  <c:v>Success</c:v>
                </c:pt>
                <c:pt idx="3">
                  <c:v>No prior contact</c:v>
                </c:pt>
              </c:strCache>
            </c:strRef>
          </c:cat>
          <c:val>
            <c:numRef>
              <c:f>Preparation!$B$72:$B$76</c:f>
              <c:numCache>
                <c:formatCode>0.00%</c:formatCode>
                <c:ptCount val="4"/>
                <c:pt idx="0">
                  <c:v>0.54313899271704369</c:v>
                </c:pt>
                <c:pt idx="1">
                  <c:v>0.27837077569265156</c:v>
                </c:pt>
                <c:pt idx="2">
                  <c:v>0.17783515086123849</c:v>
                </c:pt>
                <c:pt idx="3">
                  <c:v>6.5508072906631724E-4</c:v>
                </c:pt>
              </c:numCache>
            </c:numRef>
          </c:val>
          <c:extLst>
            <c:ext xmlns:c16="http://schemas.microsoft.com/office/drawing/2014/chart" uri="{C3380CC4-5D6E-409C-BE32-E72D297353CC}">
              <c16:uniqueId val="{00000000-F160-4A89-A7F5-26F6F7769EB7}"/>
            </c:ext>
          </c:extLst>
        </c:ser>
        <c:dLbls>
          <c:showLegendKey val="0"/>
          <c:showVal val="0"/>
          <c:showCatName val="0"/>
          <c:showSerName val="0"/>
          <c:showPercent val="0"/>
          <c:showBubbleSize val="0"/>
        </c:dLbls>
        <c:gapWidth val="45"/>
        <c:overlap val="-27"/>
        <c:axId val="479262855"/>
        <c:axId val="479265375"/>
      </c:barChart>
      <c:catAx>
        <c:axId val="479262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id-ID"/>
          </a:p>
        </c:txPr>
        <c:crossAx val="479265375"/>
        <c:crosses val="autoZero"/>
        <c:auto val="1"/>
        <c:lblAlgn val="ctr"/>
        <c:lblOffset val="100"/>
        <c:noMultiLvlLbl val="0"/>
      </c:catAx>
      <c:valAx>
        <c:axId val="47926537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id-ID"/>
          </a:p>
        </c:txPr>
        <c:crossAx val="479262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i="0" baseline="0"/>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[dashboard.xlsx]Preparation!PivotTable10</c:name>
    <c:fmtId val="5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id-ID">
                <a:solidFill>
                  <a:sysClr val="windowText" lastClr="000000"/>
                </a:solidFill>
              </a:rPr>
              <a:t>Call Count vs. Success Rate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id-ID"/>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noFill/>
                  <a:latin typeface="+mn-lt"/>
                  <a:ea typeface="+mn-ea"/>
                  <a:cs typeface="+mn-cs"/>
                </a:defRPr>
              </a:pPr>
              <a:endParaRPr lang="id-ID"/>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8"/>
          <c:spPr>
            <a:solidFill>
              <a:schemeClr val="accent2"/>
            </a:solidFill>
            <a:ln w="9525">
              <a:noFill/>
            </a:ln>
            <a:effectLst/>
          </c:spPr>
        </c:marker>
        <c:dLbl>
          <c:idx val="0"/>
          <c:spPr>
            <a:noFill/>
            <a:ln>
              <a:noFill/>
            </a:ln>
            <a:effectLst/>
          </c:spPr>
          <c:txPr>
            <a:bodyPr rot="0" spcFirstLastPara="1" vertOverflow="ellipsis" vert="horz" wrap="square" anchor="ctr" anchorCtr="1"/>
            <a:lstStyle/>
            <a:p>
              <a:pPr>
                <a:defRPr sz="1200" b="1" i="0" u="none" strike="noStrike" kern="1200" baseline="0">
                  <a:solidFill>
                    <a:schemeClr val="tx1">
                      <a:lumMod val="75000"/>
                      <a:lumOff val="25000"/>
                    </a:schemeClr>
                  </a:solidFill>
                  <a:latin typeface="+mn-lt"/>
                  <a:ea typeface="+mn-ea"/>
                  <a:cs typeface="+mn-cs"/>
                </a:defRPr>
              </a:pPr>
              <a:endParaRPr lang="id-ID"/>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Preparation!$B$55</c:f>
              <c:strCache>
                <c:ptCount val="1"/>
                <c:pt idx="0">
                  <c:v>Sum of Subscribed</c:v>
                </c:pt>
              </c:strCache>
            </c:strRef>
          </c:tx>
          <c:spPr>
            <a:solidFill>
              <a:schemeClr val="accent2">
                <a:lumMod val="40000"/>
                <a:lumOff val="60000"/>
              </a:schemeClr>
            </a:solidFill>
            <a:ln>
              <a:noFill/>
            </a:ln>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noFill/>
                    <a:latin typeface="+mn-lt"/>
                    <a:ea typeface="+mn-ea"/>
                    <a:cs typeface="+mn-cs"/>
                  </a:defRPr>
                </a:pPr>
                <a:endParaRPr lang="id-ID"/>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Preparation!$A$56:$A$62</c:f>
              <c:strCache>
                <c:ptCount val="6"/>
                <c:pt idx="0">
                  <c:v>1</c:v>
                </c:pt>
                <c:pt idx="1">
                  <c:v>2</c:v>
                </c:pt>
                <c:pt idx="2">
                  <c:v>3</c:v>
                </c:pt>
                <c:pt idx="3">
                  <c:v>4</c:v>
                </c:pt>
                <c:pt idx="4">
                  <c:v>5</c:v>
                </c:pt>
                <c:pt idx="5">
                  <c:v>6</c:v>
                </c:pt>
              </c:strCache>
            </c:strRef>
          </c:cat>
          <c:val>
            <c:numRef>
              <c:f>Preparation!$B$56:$B$62</c:f>
              <c:numCache>
                <c:formatCode>0.0%</c:formatCode>
                <c:ptCount val="6"/>
                <c:pt idx="0">
                  <c:v>0.50475572849113703</c:v>
                </c:pt>
                <c:pt idx="1">
                  <c:v>0.27129269347168178</c:v>
                </c:pt>
                <c:pt idx="2">
                  <c:v>0.11802853437094682</c:v>
                </c:pt>
                <c:pt idx="3">
                  <c:v>6.1608300907911806E-2</c:v>
                </c:pt>
                <c:pt idx="4">
                  <c:v>2.7237354085603113E-2</c:v>
                </c:pt>
                <c:pt idx="5">
                  <c:v>1.707738867271941E-2</c:v>
                </c:pt>
              </c:numCache>
            </c:numRef>
          </c:val>
          <c:extLst>
            <c:ext xmlns:c16="http://schemas.microsoft.com/office/drawing/2014/chart" uri="{C3380CC4-5D6E-409C-BE32-E72D297353CC}">
              <c16:uniqueId val="{00000000-B1BA-4CDF-9F9E-C79B55469FC8}"/>
            </c:ext>
          </c:extLst>
        </c:ser>
        <c:dLbls>
          <c:showLegendKey val="0"/>
          <c:showVal val="1"/>
          <c:showCatName val="0"/>
          <c:showSerName val="0"/>
          <c:showPercent val="0"/>
          <c:showBubbleSize val="0"/>
        </c:dLbls>
        <c:axId val="487943295"/>
        <c:axId val="487942935"/>
      </c:areaChart>
      <c:lineChart>
        <c:grouping val="stacked"/>
        <c:varyColors val="0"/>
        <c:ser>
          <c:idx val="1"/>
          <c:order val="1"/>
          <c:tx>
            <c:strRef>
              <c:f>Preparation!$C$55</c:f>
              <c:strCache>
                <c:ptCount val="1"/>
                <c:pt idx="0">
                  <c:v>Sum of Subscribed2</c:v>
                </c:pt>
              </c:strCache>
            </c:strRef>
          </c:tx>
          <c:spPr>
            <a:ln w="28575" cap="rnd">
              <a:solidFill>
                <a:schemeClr val="accent2"/>
              </a:solidFill>
              <a:round/>
            </a:ln>
            <a:effectLst/>
          </c:spPr>
          <c:marker>
            <c:symbol val="circle"/>
            <c:size val="8"/>
            <c:spPr>
              <a:solidFill>
                <a:schemeClr val="accent2"/>
              </a:solidFill>
              <a:ln w="9525">
                <a:noFill/>
              </a:ln>
              <a:effectLst/>
            </c:spPr>
          </c:marker>
          <c:dLbls>
            <c:spPr>
              <a:noFill/>
              <a:ln>
                <a:noFill/>
              </a:ln>
              <a:effectLst/>
            </c:spPr>
            <c:txPr>
              <a:bodyPr rot="0" spcFirstLastPara="1" vertOverflow="ellipsis" vert="horz" wrap="square" anchor="ctr" anchorCtr="1"/>
              <a:lstStyle/>
              <a:p>
                <a:pPr>
                  <a:defRPr sz="1200" b="1" i="0" u="none" strike="noStrike" kern="1200" baseline="0">
                    <a:solidFill>
                      <a:schemeClr val="tx1">
                        <a:lumMod val="75000"/>
                        <a:lumOff val="25000"/>
                      </a:schemeClr>
                    </a:solidFill>
                    <a:latin typeface="+mn-lt"/>
                    <a:ea typeface="+mn-ea"/>
                    <a:cs typeface="+mn-cs"/>
                  </a:defRPr>
                </a:pPr>
                <a:endParaRPr lang="id-ID"/>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Preparation!$A$56:$A$62</c:f>
              <c:strCache>
                <c:ptCount val="6"/>
                <c:pt idx="0">
                  <c:v>1</c:v>
                </c:pt>
                <c:pt idx="1">
                  <c:v>2</c:v>
                </c:pt>
                <c:pt idx="2">
                  <c:v>3</c:v>
                </c:pt>
                <c:pt idx="3">
                  <c:v>4</c:v>
                </c:pt>
                <c:pt idx="4">
                  <c:v>5</c:v>
                </c:pt>
                <c:pt idx="5">
                  <c:v>6</c:v>
                </c:pt>
              </c:strCache>
            </c:strRef>
          </c:cat>
          <c:val>
            <c:numRef>
              <c:f>Preparation!$C$56:$C$62</c:f>
              <c:numCache>
                <c:formatCode>0.0%</c:formatCode>
                <c:ptCount val="6"/>
                <c:pt idx="0">
                  <c:v>0.50475572849113703</c:v>
                </c:pt>
                <c:pt idx="1">
                  <c:v>0.27129269347168178</c:v>
                </c:pt>
                <c:pt idx="2">
                  <c:v>0.11802853437094682</c:v>
                </c:pt>
                <c:pt idx="3">
                  <c:v>6.1608300907911806E-2</c:v>
                </c:pt>
                <c:pt idx="4">
                  <c:v>2.7237354085603113E-2</c:v>
                </c:pt>
                <c:pt idx="5">
                  <c:v>1.707738867271941E-2</c:v>
                </c:pt>
              </c:numCache>
            </c:numRef>
          </c:val>
          <c:smooth val="0"/>
          <c:extLst>
            <c:ext xmlns:c16="http://schemas.microsoft.com/office/drawing/2014/chart" uri="{C3380CC4-5D6E-409C-BE32-E72D297353CC}">
              <c16:uniqueId val="{00000001-B1BA-4CDF-9F9E-C79B55469FC8}"/>
            </c:ext>
          </c:extLst>
        </c:ser>
        <c:dLbls>
          <c:showLegendKey val="0"/>
          <c:showVal val="1"/>
          <c:showCatName val="0"/>
          <c:showSerName val="0"/>
          <c:showPercent val="0"/>
          <c:showBubbleSize val="0"/>
        </c:dLbls>
        <c:marker val="1"/>
        <c:smooth val="0"/>
        <c:axId val="487943295"/>
        <c:axId val="487942935"/>
      </c:lineChart>
      <c:catAx>
        <c:axId val="48794329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id-ID"/>
          </a:p>
        </c:txPr>
        <c:crossAx val="487942935"/>
        <c:crosses val="autoZero"/>
        <c:auto val="1"/>
        <c:lblAlgn val="ctr"/>
        <c:lblOffset val="100"/>
        <c:noMultiLvlLbl val="0"/>
      </c:catAx>
      <c:valAx>
        <c:axId val="48794293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id-ID"/>
          </a:p>
        </c:txPr>
        <c:crossAx val="487943295"/>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i="0" baseline="0"/>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id-ID"/>
              <a:t>Conversion rate by channel</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id-ID"/>
        </a:p>
      </c:txPr>
    </c:title>
    <c:autoTitleDeleted val="0"/>
    <c:plotArea>
      <c:layout/>
      <c:barChart>
        <c:barDir val="col"/>
        <c:grouping val="clustered"/>
        <c:varyColors val="0"/>
        <c:ser>
          <c:idx val="0"/>
          <c:order val="0"/>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id-ID"/>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Preparation!$F$25:$F$27</c15:sqref>
                  </c15:fullRef>
                </c:ext>
              </c:extLst>
              <c:f>Preparation!$F$25:$F$26</c:f>
              <c:strCache>
                <c:ptCount val="2"/>
                <c:pt idx="0">
                  <c:v>Cellular</c:v>
                </c:pt>
                <c:pt idx="1">
                  <c:v>Telephone</c:v>
                </c:pt>
              </c:strCache>
            </c:strRef>
          </c:cat>
          <c:val>
            <c:numRef>
              <c:extLst>
                <c:ext xmlns:c15="http://schemas.microsoft.com/office/drawing/2012/chart" uri="{02D57815-91ED-43cb-92C2-25804820EDAC}">
                  <c15:fullRef>
                    <c15:sqref>Preparation!$G$25:$G$27</c15:sqref>
                  </c15:fullRef>
                </c:ext>
              </c:extLst>
              <c:f>Preparation!$G$25:$G$26</c:f>
              <c:numCache>
                <c:formatCode>0.0%</c:formatCode>
                <c:ptCount val="2"/>
                <c:pt idx="0">
                  <c:v>0.14918900460986853</c:v>
                </c:pt>
                <c:pt idx="1">
                  <c:v>0.13420509291121818</c:v>
                </c:pt>
              </c:numCache>
            </c:numRef>
          </c:val>
          <c:extLst>
            <c:ext xmlns:c16="http://schemas.microsoft.com/office/drawing/2014/chart" uri="{C3380CC4-5D6E-409C-BE32-E72D297353CC}">
              <c16:uniqueId val="{00000000-A0E5-405D-87C9-F80D4048F2F6}"/>
            </c:ext>
          </c:extLst>
        </c:ser>
        <c:dLbls>
          <c:dLblPos val="outEnd"/>
          <c:showLegendKey val="0"/>
          <c:showVal val="1"/>
          <c:showCatName val="0"/>
          <c:showSerName val="0"/>
          <c:showPercent val="0"/>
          <c:showBubbleSize val="0"/>
        </c:dLbls>
        <c:gapWidth val="182"/>
        <c:axId val="642443271"/>
        <c:axId val="642441111"/>
      </c:barChart>
      <c:catAx>
        <c:axId val="642443271"/>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id-ID"/>
          </a:p>
        </c:txPr>
        <c:crossAx val="642441111"/>
        <c:crosses val="autoZero"/>
        <c:auto val="1"/>
        <c:lblAlgn val="ctr"/>
        <c:lblOffset val="100"/>
        <c:noMultiLvlLbl val="0"/>
      </c:catAx>
      <c:valAx>
        <c:axId val="642441111"/>
        <c:scaling>
          <c:orientation val="minMax"/>
        </c:scaling>
        <c:delete val="0"/>
        <c:axPos val="r"/>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high"/>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id-ID"/>
          </a:p>
        </c:txPr>
        <c:crossAx val="6424432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i="0" baseline="0">
          <a:solidFill>
            <a:schemeClr val="tx1"/>
          </a:solidFill>
        </a:defRPr>
      </a:pPr>
      <a:endParaRPr lang="id-ID"/>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5">
  <a:schemeClr val="accent2"/>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4</xdr:col>
      <xdr:colOff>216218</xdr:colOff>
      <xdr:row>5</xdr:row>
      <xdr:rowOff>129310</xdr:rowOff>
    </xdr:from>
    <xdr:to>
      <xdr:col>7</xdr:col>
      <xdr:colOff>1089862</xdr:colOff>
      <xdr:row>20</xdr:row>
      <xdr:rowOff>166544</xdr:rowOff>
    </xdr:to>
    <xdr:graphicFrame macro="">
      <xdr:nvGraphicFramePr>
        <xdr:cNvPr id="3" name="Chart 2">
          <a:extLst>
            <a:ext uri="{FF2B5EF4-FFF2-40B4-BE49-F238E27FC236}">
              <a16:creationId xmlns:a16="http://schemas.microsoft.com/office/drawing/2014/main" id="{1402BD1C-D4C8-5963-D9C0-CAA7241F06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147464</xdr:colOff>
      <xdr:row>34</xdr:row>
      <xdr:rowOff>39312</xdr:rowOff>
    </xdr:from>
    <xdr:to>
      <xdr:col>7</xdr:col>
      <xdr:colOff>1109604</xdr:colOff>
      <xdr:row>49</xdr:row>
      <xdr:rowOff>76546</xdr:rowOff>
    </xdr:to>
    <xdr:graphicFrame macro="">
      <xdr:nvGraphicFramePr>
        <xdr:cNvPr id="5" name="Chart 4">
          <a:extLst>
            <a:ext uri="{FF2B5EF4-FFF2-40B4-BE49-F238E27FC236}">
              <a16:creationId xmlns:a16="http://schemas.microsoft.com/office/drawing/2014/main" id="{D7EE6B30-C5E8-2E3A-5E67-081E7282B1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192664</xdr:colOff>
      <xdr:row>50</xdr:row>
      <xdr:rowOff>39312</xdr:rowOff>
    </xdr:from>
    <xdr:to>
      <xdr:col>7</xdr:col>
      <xdr:colOff>1154804</xdr:colOff>
      <xdr:row>65</xdr:row>
      <xdr:rowOff>76546</xdr:rowOff>
    </xdr:to>
    <xdr:graphicFrame macro="">
      <xdr:nvGraphicFramePr>
        <xdr:cNvPr id="6" name="Chart 5">
          <a:extLst>
            <a:ext uri="{FF2B5EF4-FFF2-40B4-BE49-F238E27FC236}">
              <a16:creationId xmlns:a16="http://schemas.microsoft.com/office/drawing/2014/main" id="{8876803C-F61F-ED90-3B9A-8920138C65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219623</xdr:colOff>
      <xdr:row>66</xdr:row>
      <xdr:rowOff>125903</xdr:rowOff>
    </xdr:from>
    <xdr:to>
      <xdr:col>7</xdr:col>
      <xdr:colOff>1183668</xdr:colOff>
      <xdr:row>81</xdr:row>
      <xdr:rowOff>163137</xdr:rowOff>
    </xdr:to>
    <xdr:graphicFrame macro="">
      <xdr:nvGraphicFramePr>
        <xdr:cNvPr id="7" name="Chart 6">
          <a:extLst>
            <a:ext uri="{FF2B5EF4-FFF2-40B4-BE49-F238E27FC236}">
              <a16:creationId xmlns:a16="http://schemas.microsoft.com/office/drawing/2014/main" id="{0D95B036-C260-6549-1005-B106A1E1D6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210502</xdr:colOff>
      <xdr:row>82</xdr:row>
      <xdr:rowOff>129713</xdr:rowOff>
    </xdr:from>
    <xdr:to>
      <xdr:col>7</xdr:col>
      <xdr:colOff>1277215</xdr:colOff>
      <xdr:row>95</xdr:row>
      <xdr:rowOff>144318</xdr:rowOff>
    </xdr:to>
    <xdr:graphicFrame macro="">
      <xdr:nvGraphicFramePr>
        <xdr:cNvPr id="8" name="Chart 7">
          <a:extLst>
            <a:ext uri="{FF2B5EF4-FFF2-40B4-BE49-F238E27FC236}">
              <a16:creationId xmlns:a16="http://schemas.microsoft.com/office/drawing/2014/main" id="{4FD8D053-7298-3CAC-D015-5D3F27E26B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122006</xdr:colOff>
      <xdr:row>97</xdr:row>
      <xdr:rowOff>35905</xdr:rowOff>
    </xdr:from>
    <xdr:to>
      <xdr:col>7</xdr:col>
      <xdr:colOff>1093672</xdr:colOff>
      <xdr:row>112</xdr:row>
      <xdr:rowOff>65520</xdr:rowOff>
    </xdr:to>
    <xdr:graphicFrame macro="">
      <xdr:nvGraphicFramePr>
        <xdr:cNvPr id="9" name="Chart 8">
          <a:extLst>
            <a:ext uri="{FF2B5EF4-FFF2-40B4-BE49-F238E27FC236}">
              <a16:creationId xmlns:a16="http://schemas.microsoft.com/office/drawing/2014/main" id="{9CEE8752-8EA4-3550-4DE3-8DA0B29C86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380752</xdr:colOff>
      <xdr:row>21</xdr:row>
      <xdr:rowOff>108015</xdr:rowOff>
    </xdr:from>
    <xdr:to>
      <xdr:col>14</xdr:col>
      <xdr:colOff>28736</xdr:colOff>
      <xdr:row>37</xdr:row>
      <xdr:rowOff>712</xdr:rowOff>
    </xdr:to>
    <xdr:graphicFrame macro="">
      <xdr:nvGraphicFramePr>
        <xdr:cNvPr id="2" name="Chart 1">
          <a:extLst>
            <a:ext uri="{FF2B5EF4-FFF2-40B4-BE49-F238E27FC236}">
              <a16:creationId xmlns:a16="http://schemas.microsoft.com/office/drawing/2014/main" id="{09C03DE1-8B6F-44D8-7B28-57E181F07F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207938</xdr:colOff>
      <xdr:row>6</xdr:row>
      <xdr:rowOff>140106</xdr:rowOff>
    </xdr:from>
    <xdr:to>
      <xdr:col>9</xdr:col>
      <xdr:colOff>394817</xdr:colOff>
      <xdr:row>11</xdr:row>
      <xdr:rowOff>93981</xdr:rowOff>
    </xdr:to>
    <xdr:grpSp>
      <xdr:nvGrpSpPr>
        <xdr:cNvPr id="9" name="Group 8">
          <a:extLst>
            <a:ext uri="{FF2B5EF4-FFF2-40B4-BE49-F238E27FC236}">
              <a16:creationId xmlns:a16="http://schemas.microsoft.com/office/drawing/2014/main" id="{7303A825-BC26-4406-9D17-3601668A459C}"/>
            </a:ext>
          </a:extLst>
        </xdr:cNvPr>
        <xdr:cNvGrpSpPr/>
      </xdr:nvGrpSpPr>
      <xdr:grpSpPr>
        <a:xfrm>
          <a:off x="3251642" y="1230658"/>
          <a:ext cx="2618794" cy="873463"/>
          <a:chOff x="249301" y="542041"/>
          <a:chExt cx="1942432" cy="879835"/>
        </a:xfrm>
      </xdr:grpSpPr>
      <xdr:sp macro="" textlink="Preparation!C2">
        <xdr:nvSpPr>
          <xdr:cNvPr id="10" name="Rectangle 9">
            <a:extLst>
              <a:ext uri="{FF2B5EF4-FFF2-40B4-BE49-F238E27FC236}">
                <a16:creationId xmlns:a16="http://schemas.microsoft.com/office/drawing/2014/main" id="{4B77F05C-EE0C-3145-6042-8A9EA5129F98}"/>
              </a:ext>
            </a:extLst>
          </xdr:cNvPr>
          <xdr:cNvSpPr/>
        </xdr:nvSpPr>
        <xdr:spPr>
          <a:xfrm>
            <a:off x="249301" y="542041"/>
            <a:ext cx="1942432" cy="879835"/>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BC609C94-36D5-4F99-9C4F-C125372A41C7}" type="TxLink">
              <a:rPr lang="en-US" sz="2400" b="1" i="0" u="none" strike="noStrike">
                <a:solidFill>
                  <a:srgbClr val="000000"/>
                </a:solidFill>
                <a:latin typeface="Roboto Condensed" panose="02000000000000000000" pitchFamily="2" charset="0"/>
                <a:ea typeface="Roboto Condensed" panose="02000000000000000000" pitchFamily="2" charset="0"/>
                <a:cs typeface="Calibri"/>
              </a:rPr>
              <a:pPr algn="l"/>
              <a:t> 4,759 </a:t>
            </a:fld>
            <a:endParaRPr lang="en-US" sz="2400" b="1" i="0" u="none" strike="noStrike">
              <a:solidFill>
                <a:sysClr val="windowText" lastClr="000000"/>
              </a:solidFill>
              <a:latin typeface="Roboto Condensed" panose="02000000000000000000" pitchFamily="2" charset="0"/>
              <a:ea typeface="Roboto Condensed" panose="02000000000000000000" pitchFamily="2" charset="0"/>
              <a:cs typeface="Calibri"/>
            </a:endParaRPr>
          </a:p>
        </xdr:txBody>
      </xdr:sp>
      <xdr:sp macro="" textlink="">
        <xdr:nvSpPr>
          <xdr:cNvPr id="16" name="Rectangle 15">
            <a:extLst>
              <a:ext uri="{FF2B5EF4-FFF2-40B4-BE49-F238E27FC236}">
                <a16:creationId xmlns:a16="http://schemas.microsoft.com/office/drawing/2014/main" id="{1A2BBBD1-CDDD-40AB-BF75-DF0978BD95B4}"/>
              </a:ext>
            </a:extLst>
          </xdr:cNvPr>
          <xdr:cNvSpPr/>
        </xdr:nvSpPr>
        <xdr:spPr>
          <a:xfrm>
            <a:off x="284888" y="586582"/>
            <a:ext cx="1858578" cy="20521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solidFill>
                  <a:sysClr val="windowText" lastClr="000000"/>
                </a:solidFill>
                <a:latin typeface="Roboto Condensed" panose="02000000000000000000" pitchFamily="2" charset="0"/>
                <a:ea typeface="Roboto Condensed" panose="02000000000000000000" pitchFamily="2" charset="0"/>
              </a:rPr>
              <a:t>Total Subscriptions</a:t>
            </a:r>
            <a:endParaRPr lang="id-ID" sz="1200" b="1">
              <a:solidFill>
                <a:sysClr val="windowText" lastClr="000000"/>
              </a:solidFill>
              <a:latin typeface="Roboto Condensed" panose="02000000000000000000" pitchFamily="2" charset="0"/>
              <a:ea typeface="Roboto Condensed" panose="02000000000000000000" pitchFamily="2" charset="0"/>
            </a:endParaRPr>
          </a:p>
        </xdr:txBody>
      </xdr:sp>
      <xdr:sp macro="" textlink="Preparation!C5">
        <xdr:nvSpPr>
          <xdr:cNvPr id="17" name="Rectangle: Rounded Corners 16">
            <a:extLst>
              <a:ext uri="{FF2B5EF4-FFF2-40B4-BE49-F238E27FC236}">
                <a16:creationId xmlns:a16="http://schemas.microsoft.com/office/drawing/2014/main" id="{26C217CA-5090-99C2-C756-7E8DBE3F2E40}"/>
              </a:ext>
            </a:extLst>
          </xdr:cNvPr>
          <xdr:cNvSpPr/>
        </xdr:nvSpPr>
        <xdr:spPr>
          <a:xfrm>
            <a:off x="310567" y="1155870"/>
            <a:ext cx="1761809" cy="216646"/>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D804D17E-9A90-4C9E-B30D-DF807FEFC34F}" type="TxLink">
              <a:rPr lang="en-US" sz="1100" b="0" i="0" u="none" strike="noStrike">
                <a:solidFill>
                  <a:srgbClr val="1D9E75"/>
                </a:solidFill>
                <a:latin typeface="Roboto Condensed" panose="02000000000000000000" pitchFamily="2" charset="0"/>
                <a:ea typeface="Roboto Condensed" panose="02000000000000000000" pitchFamily="2" charset="0"/>
                <a:cs typeface="Calibri"/>
              </a:rPr>
              <a:pPr algn="l"/>
              <a:t>14.8%</a:t>
            </a:fld>
            <a:r>
              <a:rPr lang="en-US" sz="1100" b="0" i="0" u="none" strike="noStrike">
                <a:solidFill>
                  <a:srgbClr val="1D9E75"/>
                </a:solidFill>
                <a:latin typeface="Roboto Condensed" panose="02000000000000000000" pitchFamily="2" charset="0"/>
                <a:ea typeface="Roboto Condensed" panose="02000000000000000000" pitchFamily="2" charset="0"/>
                <a:cs typeface="Calibri"/>
              </a:rPr>
              <a:t> </a:t>
            </a:r>
            <a:r>
              <a:rPr lang="en-US" sz="1100" b="0" i="0" u="none" strike="noStrike">
                <a:solidFill>
                  <a:schemeClr val="tx1"/>
                </a:solidFill>
                <a:latin typeface="Roboto Condensed" panose="02000000000000000000" pitchFamily="2" charset="0"/>
                <a:ea typeface="Roboto Condensed" panose="02000000000000000000" pitchFamily="2" charset="0"/>
                <a:cs typeface="Calibri"/>
              </a:rPr>
              <a:t>conversion rate</a:t>
            </a:r>
            <a:endParaRPr lang="en-US" sz="900" b="0">
              <a:solidFill>
                <a:schemeClr val="tx1"/>
              </a:solidFill>
              <a:latin typeface="Roboto Condensed" panose="02000000000000000000" pitchFamily="2" charset="0"/>
              <a:ea typeface="Roboto Condensed" panose="02000000000000000000" pitchFamily="2" charset="0"/>
            </a:endParaRPr>
          </a:p>
        </xdr:txBody>
      </xdr:sp>
    </xdr:grpSp>
    <xdr:clientData/>
  </xdr:twoCellAnchor>
  <xdr:twoCellAnchor>
    <xdr:from>
      <xdr:col>10</xdr:col>
      <xdr:colOff>50033</xdr:colOff>
      <xdr:row>6</xdr:row>
      <xdr:rowOff>136731</xdr:rowOff>
    </xdr:from>
    <xdr:to>
      <xdr:col>14</xdr:col>
      <xdr:colOff>473902</xdr:colOff>
      <xdr:row>11</xdr:row>
      <xdr:rowOff>92293</xdr:rowOff>
    </xdr:to>
    <xdr:grpSp>
      <xdr:nvGrpSpPr>
        <xdr:cNvPr id="20" name="Group 19">
          <a:extLst>
            <a:ext uri="{FF2B5EF4-FFF2-40B4-BE49-F238E27FC236}">
              <a16:creationId xmlns:a16="http://schemas.microsoft.com/office/drawing/2014/main" id="{2C11179D-4694-4956-BF9A-0885A493BE3F}"/>
            </a:ext>
          </a:extLst>
        </xdr:cNvPr>
        <xdr:cNvGrpSpPr/>
      </xdr:nvGrpSpPr>
      <xdr:grpSpPr>
        <a:xfrm>
          <a:off x="6133630" y="1227283"/>
          <a:ext cx="2855784" cy="875150"/>
          <a:chOff x="249301" y="542041"/>
          <a:chExt cx="1942432" cy="879835"/>
        </a:xfrm>
      </xdr:grpSpPr>
      <xdr:sp macro="" textlink="Preparation!E2">
        <xdr:nvSpPr>
          <xdr:cNvPr id="21" name="Rectangle 20">
            <a:extLst>
              <a:ext uri="{FF2B5EF4-FFF2-40B4-BE49-F238E27FC236}">
                <a16:creationId xmlns:a16="http://schemas.microsoft.com/office/drawing/2014/main" id="{9B59AE84-D33A-FACC-0F15-6E3D7D0AD2A9}"/>
              </a:ext>
            </a:extLst>
          </xdr:cNvPr>
          <xdr:cNvSpPr/>
        </xdr:nvSpPr>
        <xdr:spPr>
          <a:xfrm>
            <a:off x="249301" y="542041"/>
            <a:ext cx="1942432" cy="879835"/>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400" b="1" i="0" u="none" strike="noStrike">
                <a:solidFill>
                  <a:srgbClr val="000000"/>
                </a:solidFill>
                <a:latin typeface="Roboto Condensed" panose="02000000000000000000" pitchFamily="2" charset="0"/>
                <a:ea typeface="Roboto Condensed" panose="02000000000000000000" pitchFamily="2" charset="0"/>
                <a:cs typeface="Calibri"/>
              </a:rPr>
              <a:t> </a:t>
            </a:r>
            <a:fld id="{6DFF66D3-871D-40FB-81B4-02CA8A807D5D}" type="TxLink">
              <a:rPr lang="en-US" sz="2400" b="1" i="0" u="none" strike="noStrike">
                <a:solidFill>
                  <a:srgbClr val="000000"/>
                </a:solidFill>
                <a:latin typeface="Roboto Condensed" panose="02000000000000000000" pitchFamily="2" charset="0"/>
                <a:ea typeface="Roboto Condensed" panose="02000000000000000000" pitchFamily="2" charset="0"/>
                <a:cs typeface="Calibri"/>
              </a:rPr>
              <a:pPr algn="l"/>
              <a:t>258.2</a:t>
            </a:fld>
            <a:endParaRPr lang="en-US" sz="4800" b="1" i="0" u="none" strike="noStrike">
              <a:solidFill>
                <a:sysClr val="windowText" lastClr="000000"/>
              </a:solidFill>
              <a:latin typeface="Roboto Condensed" panose="02000000000000000000" pitchFamily="2" charset="0"/>
              <a:ea typeface="Roboto Condensed" panose="02000000000000000000" pitchFamily="2" charset="0"/>
              <a:cs typeface="Calibri"/>
            </a:endParaRPr>
          </a:p>
        </xdr:txBody>
      </xdr:sp>
      <xdr:sp macro="" textlink="">
        <xdr:nvSpPr>
          <xdr:cNvPr id="22" name="Rectangle 21">
            <a:extLst>
              <a:ext uri="{FF2B5EF4-FFF2-40B4-BE49-F238E27FC236}">
                <a16:creationId xmlns:a16="http://schemas.microsoft.com/office/drawing/2014/main" id="{50A5685F-AE78-307F-8195-F803F0B77B49}"/>
              </a:ext>
            </a:extLst>
          </xdr:cNvPr>
          <xdr:cNvSpPr/>
        </xdr:nvSpPr>
        <xdr:spPr>
          <a:xfrm>
            <a:off x="263058" y="586582"/>
            <a:ext cx="1870091" cy="20521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solidFill>
                  <a:sysClr val="windowText" lastClr="000000"/>
                </a:solidFill>
                <a:latin typeface="Roboto Condensed" panose="02000000000000000000" pitchFamily="2" charset="0"/>
                <a:ea typeface="Roboto Condensed" panose="02000000000000000000" pitchFamily="2" charset="0"/>
              </a:rPr>
              <a:t>Avg</a:t>
            </a:r>
            <a:r>
              <a:rPr lang="en-US" sz="1200" b="1" baseline="0">
                <a:solidFill>
                  <a:sysClr val="windowText" lastClr="000000"/>
                </a:solidFill>
                <a:latin typeface="Roboto Condensed" panose="02000000000000000000" pitchFamily="2" charset="0"/>
                <a:ea typeface="Roboto Condensed" panose="02000000000000000000" pitchFamily="2" charset="0"/>
              </a:rPr>
              <a:t> Call Duration</a:t>
            </a:r>
            <a:endParaRPr lang="id-ID" sz="1200" b="1">
              <a:solidFill>
                <a:sysClr val="windowText" lastClr="000000"/>
              </a:solidFill>
              <a:latin typeface="Roboto Condensed" panose="02000000000000000000" pitchFamily="2" charset="0"/>
              <a:ea typeface="Roboto Condensed" panose="02000000000000000000" pitchFamily="2" charset="0"/>
            </a:endParaRPr>
          </a:p>
        </xdr:txBody>
      </xdr:sp>
      <xdr:sp macro="" textlink="Preparation!E5">
        <xdr:nvSpPr>
          <xdr:cNvPr id="23" name="Rectangle: Rounded Corners 22">
            <a:extLst>
              <a:ext uri="{FF2B5EF4-FFF2-40B4-BE49-F238E27FC236}">
                <a16:creationId xmlns:a16="http://schemas.microsoft.com/office/drawing/2014/main" id="{E624EB7E-83FD-83BE-B053-BF6E436F5F4D}"/>
              </a:ext>
            </a:extLst>
          </xdr:cNvPr>
          <xdr:cNvSpPr/>
        </xdr:nvSpPr>
        <xdr:spPr>
          <a:xfrm>
            <a:off x="299204" y="1132670"/>
            <a:ext cx="1811890" cy="216646"/>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b="0" i="0" u="none" strike="noStrike">
                <a:solidFill>
                  <a:srgbClr val="000000"/>
                </a:solidFill>
                <a:latin typeface="Roboto Condensed" panose="02000000000000000000" pitchFamily="2" charset="0"/>
                <a:ea typeface="Roboto Condensed" panose="02000000000000000000" pitchFamily="2" charset="0"/>
                <a:cs typeface="Calibri"/>
              </a:rPr>
              <a:t>~</a:t>
            </a:r>
            <a:fld id="{D40AC957-BD09-49E6-8E30-8AA3B2C35CB2}" type="TxLink">
              <a:rPr lang="en-US" sz="1100" b="0" i="0" u="none" strike="noStrike">
                <a:solidFill>
                  <a:srgbClr val="000000"/>
                </a:solidFill>
                <a:latin typeface="Roboto Condensed" panose="02000000000000000000" pitchFamily="2" charset="0"/>
                <a:ea typeface="Roboto Condensed" panose="02000000000000000000" pitchFamily="2" charset="0"/>
                <a:cs typeface="Calibri"/>
              </a:rPr>
              <a:pPr algn="l"/>
              <a:t>4.3</a:t>
            </a:fld>
            <a:r>
              <a:rPr lang="en-US" sz="1100" b="0" i="0" u="none" strike="noStrike">
                <a:solidFill>
                  <a:srgbClr val="000000"/>
                </a:solidFill>
                <a:latin typeface="Roboto Condensed" panose="02000000000000000000" pitchFamily="2" charset="0"/>
                <a:ea typeface="Roboto Condensed" panose="02000000000000000000" pitchFamily="2" charset="0"/>
                <a:cs typeface="Calibri"/>
              </a:rPr>
              <a:t> min per contact</a:t>
            </a:r>
            <a:endParaRPr lang="en-US" sz="1000" b="0">
              <a:solidFill>
                <a:sysClr val="windowText" lastClr="000000"/>
              </a:solidFill>
              <a:latin typeface="Roboto Condensed" panose="02000000000000000000" pitchFamily="2" charset="0"/>
              <a:ea typeface="Roboto Condensed" panose="02000000000000000000" pitchFamily="2" charset="0"/>
            </a:endParaRPr>
          </a:p>
        </xdr:txBody>
      </xdr:sp>
    </xdr:grpSp>
    <xdr:clientData/>
  </xdr:twoCellAnchor>
  <xdr:twoCellAnchor>
    <xdr:from>
      <xdr:col>15</xdr:col>
      <xdr:colOff>130091</xdr:colOff>
      <xdr:row>6</xdr:row>
      <xdr:rowOff>136296</xdr:rowOff>
    </xdr:from>
    <xdr:to>
      <xdr:col>20</xdr:col>
      <xdr:colOff>382961</xdr:colOff>
      <xdr:row>11</xdr:row>
      <xdr:rowOff>95471</xdr:rowOff>
    </xdr:to>
    <xdr:sp macro="" textlink="Preparation!G2">
      <xdr:nvSpPr>
        <xdr:cNvPr id="25" name="Rectangle 24">
          <a:extLst>
            <a:ext uri="{FF2B5EF4-FFF2-40B4-BE49-F238E27FC236}">
              <a16:creationId xmlns:a16="http://schemas.microsoft.com/office/drawing/2014/main" id="{25D42896-EE8C-5111-7772-1797A9E54B18}"/>
            </a:ext>
          </a:extLst>
        </xdr:cNvPr>
        <xdr:cNvSpPr/>
      </xdr:nvSpPr>
      <xdr:spPr>
        <a:xfrm>
          <a:off x="9260564" y="1218426"/>
          <a:ext cx="3296361" cy="8609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400" b="1" i="0" u="none" strike="noStrike">
              <a:solidFill>
                <a:srgbClr val="000000"/>
              </a:solidFill>
              <a:latin typeface="Roboto Condensed" panose="02000000000000000000" pitchFamily="2" charset="0"/>
              <a:ea typeface="Roboto Condensed" panose="02000000000000000000" pitchFamily="2" charset="0"/>
              <a:cs typeface="Calibri"/>
            </a:rPr>
            <a:t> </a:t>
          </a:r>
          <a:fld id="{A35D30A9-DA26-453B-80F4-E49054370DB2}" type="TxLink">
            <a:rPr lang="en-US" sz="2400" b="1" i="0" u="none" strike="noStrike">
              <a:solidFill>
                <a:srgbClr val="000000"/>
              </a:solidFill>
              <a:latin typeface="Roboto Condensed" panose="02000000000000000000" pitchFamily="2" charset="0"/>
              <a:ea typeface="Roboto Condensed" panose="02000000000000000000" pitchFamily="2" charset="0"/>
              <a:cs typeface="Calibri"/>
            </a:rPr>
            <a:pPr algn="l"/>
            <a:t>2.76</a:t>
          </a:fld>
          <a:endParaRPr lang="en-US" sz="4800" b="1" i="0" u="none" strike="noStrike">
            <a:latin typeface="Roboto Condensed" panose="02000000000000000000" pitchFamily="2" charset="0"/>
            <a:ea typeface="Roboto Condensed" panose="02000000000000000000" pitchFamily="2" charset="0"/>
            <a:cs typeface="Calibri"/>
          </a:endParaRPr>
        </a:p>
      </xdr:txBody>
    </xdr:sp>
    <xdr:clientData/>
  </xdr:twoCellAnchor>
  <xdr:twoCellAnchor>
    <xdr:from>
      <xdr:col>15</xdr:col>
      <xdr:colOff>161251</xdr:colOff>
      <xdr:row>6</xdr:row>
      <xdr:rowOff>179495</xdr:rowOff>
    </xdr:from>
    <xdr:to>
      <xdr:col>20</xdr:col>
      <xdr:colOff>318157</xdr:colOff>
      <xdr:row>8</xdr:row>
      <xdr:rowOff>17820</xdr:rowOff>
    </xdr:to>
    <xdr:sp macro="" textlink="">
      <xdr:nvSpPr>
        <xdr:cNvPr id="26" name="Rectangle 25">
          <a:extLst>
            <a:ext uri="{FF2B5EF4-FFF2-40B4-BE49-F238E27FC236}">
              <a16:creationId xmlns:a16="http://schemas.microsoft.com/office/drawing/2014/main" id="{09B645F5-C23D-8125-C032-BA925FF386EA}"/>
            </a:ext>
          </a:extLst>
        </xdr:cNvPr>
        <xdr:cNvSpPr/>
      </xdr:nvSpPr>
      <xdr:spPr>
        <a:xfrm>
          <a:off x="9291724" y="1261625"/>
          <a:ext cx="3200397" cy="19903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solidFill>
                <a:sysClr val="windowText" lastClr="000000"/>
              </a:solidFill>
              <a:latin typeface="Roboto Condensed" panose="02000000000000000000" pitchFamily="2" charset="0"/>
              <a:ea typeface="Roboto Condensed" panose="02000000000000000000" pitchFamily="2" charset="0"/>
            </a:rPr>
            <a:t>Avg Contact/Client</a:t>
          </a:r>
          <a:endParaRPr lang="id-ID" sz="1200" b="1">
            <a:solidFill>
              <a:sysClr val="windowText" lastClr="000000"/>
            </a:solidFill>
            <a:latin typeface="Roboto Condensed" panose="02000000000000000000" pitchFamily="2" charset="0"/>
            <a:ea typeface="Roboto Condensed" panose="02000000000000000000" pitchFamily="2" charset="0"/>
          </a:endParaRPr>
        </a:p>
      </xdr:txBody>
    </xdr:sp>
    <xdr:clientData/>
  </xdr:twoCellAnchor>
  <xdr:twoCellAnchor>
    <xdr:from>
      <xdr:col>15</xdr:col>
      <xdr:colOff>201043</xdr:colOff>
      <xdr:row>9</xdr:row>
      <xdr:rowOff>168067</xdr:rowOff>
    </xdr:from>
    <xdr:to>
      <xdr:col>20</xdr:col>
      <xdr:colOff>318353</xdr:colOff>
      <xdr:row>11</xdr:row>
      <xdr:rowOff>17477</xdr:rowOff>
    </xdr:to>
    <xdr:sp macro="" textlink="Preparation!R9">
      <xdr:nvSpPr>
        <xdr:cNvPr id="27" name="Rectangle: Rounded Corners 26">
          <a:extLst>
            <a:ext uri="{FF2B5EF4-FFF2-40B4-BE49-F238E27FC236}">
              <a16:creationId xmlns:a16="http://schemas.microsoft.com/office/drawing/2014/main" id="{1C56B142-4C1A-D635-1F82-5636A0CB5AFD}"/>
            </a:ext>
          </a:extLst>
        </xdr:cNvPr>
        <xdr:cNvSpPr/>
      </xdr:nvSpPr>
      <xdr:spPr>
        <a:xfrm>
          <a:off x="9331516" y="1791262"/>
          <a:ext cx="3160801" cy="21012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b="0">
              <a:solidFill>
                <a:srgbClr val="FF0000"/>
              </a:solidFill>
              <a:latin typeface="Roboto Condensed" panose="02000000000000000000" pitchFamily="2" charset="0"/>
              <a:ea typeface="Roboto Condensed" panose="02000000000000000000" pitchFamily="2" charset="0"/>
            </a:rPr>
            <a:t>↑ cost risk</a:t>
          </a:r>
          <a:r>
            <a:rPr lang="en-US" sz="1100" b="0">
              <a:solidFill>
                <a:sysClr val="windowText" lastClr="000000"/>
              </a:solidFill>
              <a:latin typeface="Roboto Condensed" panose="02000000000000000000" pitchFamily="2" charset="0"/>
              <a:ea typeface="Roboto Condensed" panose="02000000000000000000" pitchFamily="2" charset="0"/>
            </a:rPr>
            <a:t> if &gt;3 calls</a:t>
          </a:r>
        </a:p>
      </xdr:txBody>
    </xdr:sp>
    <xdr:clientData/>
  </xdr:twoCellAnchor>
  <xdr:twoCellAnchor>
    <xdr:from>
      <xdr:col>0</xdr:col>
      <xdr:colOff>241699</xdr:colOff>
      <xdr:row>6</xdr:row>
      <xdr:rowOff>136731</xdr:rowOff>
    </xdr:from>
    <xdr:to>
      <xdr:col>4</xdr:col>
      <xdr:colOff>544163</xdr:colOff>
      <xdr:row>11</xdr:row>
      <xdr:rowOff>86468</xdr:rowOff>
    </xdr:to>
    <xdr:grpSp>
      <xdr:nvGrpSpPr>
        <xdr:cNvPr id="31" name="Group 30">
          <a:extLst>
            <a:ext uri="{FF2B5EF4-FFF2-40B4-BE49-F238E27FC236}">
              <a16:creationId xmlns:a16="http://schemas.microsoft.com/office/drawing/2014/main" id="{EE43F7AF-6033-4B42-9DB3-F0A1F2BFCF70}"/>
            </a:ext>
          </a:extLst>
        </xdr:cNvPr>
        <xdr:cNvGrpSpPr/>
      </xdr:nvGrpSpPr>
      <xdr:grpSpPr>
        <a:xfrm>
          <a:off x="245509" y="1227283"/>
          <a:ext cx="2732474" cy="867420"/>
          <a:chOff x="249301" y="542041"/>
          <a:chExt cx="1942432" cy="879835"/>
        </a:xfrm>
      </xdr:grpSpPr>
      <xdr:sp macro="" textlink="Preparation!A2">
        <xdr:nvSpPr>
          <xdr:cNvPr id="32" name="Rectangle 31">
            <a:extLst>
              <a:ext uri="{FF2B5EF4-FFF2-40B4-BE49-F238E27FC236}">
                <a16:creationId xmlns:a16="http://schemas.microsoft.com/office/drawing/2014/main" id="{322EBCD6-0AD8-DB27-8341-A07BF7A8F671}"/>
              </a:ext>
            </a:extLst>
          </xdr:cNvPr>
          <xdr:cNvSpPr/>
        </xdr:nvSpPr>
        <xdr:spPr>
          <a:xfrm>
            <a:off x="249301" y="542041"/>
            <a:ext cx="1942432" cy="879835"/>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44EAA978-9EE0-459E-A1B2-052752B6A9E0}" type="TxLink">
              <a:rPr lang="en-US" sz="2400" b="1" i="0" u="none" strike="noStrike">
                <a:solidFill>
                  <a:srgbClr val="000000"/>
                </a:solidFill>
                <a:latin typeface="Roboto Condensed" panose="02000000000000000000" pitchFamily="2" charset="0"/>
                <a:ea typeface="Roboto Condensed" panose="02000000000000000000" pitchFamily="2" charset="0"/>
                <a:cs typeface="Calibri"/>
              </a:rPr>
              <a:pPr algn="l"/>
              <a:t> 32,191 </a:t>
            </a:fld>
            <a:endParaRPr lang="en-US" sz="2400" b="1" i="0" u="none" strike="noStrike">
              <a:solidFill>
                <a:sysClr val="windowText" lastClr="000000"/>
              </a:solidFill>
              <a:latin typeface="Roboto Condensed" panose="02000000000000000000" pitchFamily="2" charset="0"/>
              <a:ea typeface="Roboto Condensed" panose="02000000000000000000" pitchFamily="2" charset="0"/>
              <a:cs typeface="Calibri"/>
            </a:endParaRPr>
          </a:p>
        </xdr:txBody>
      </xdr:sp>
      <xdr:sp macro="" textlink="">
        <xdr:nvSpPr>
          <xdr:cNvPr id="33" name="Rectangle: Rounded Corners 32">
            <a:extLst>
              <a:ext uri="{FF2B5EF4-FFF2-40B4-BE49-F238E27FC236}">
                <a16:creationId xmlns:a16="http://schemas.microsoft.com/office/drawing/2014/main" id="{66E88C45-5917-7CDD-E1C4-1675152E1E54}"/>
              </a:ext>
            </a:extLst>
          </xdr:cNvPr>
          <xdr:cNvSpPr/>
        </xdr:nvSpPr>
        <xdr:spPr>
          <a:xfrm>
            <a:off x="287031" y="586582"/>
            <a:ext cx="1815303" cy="205217"/>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solidFill>
                  <a:sysClr val="windowText" lastClr="000000"/>
                </a:solidFill>
                <a:latin typeface="Roboto Condensed" panose="02000000000000000000" pitchFamily="2" charset="0"/>
                <a:ea typeface="Roboto Condensed" panose="02000000000000000000" pitchFamily="2" charset="0"/>
              </a:rPr>
              <a:t>Total Contacts</a:t>
            </a:r>
            <a:endParaRPr lang="id-ID" sz="1200" b="1">
              <a:solidFill>
                <a:sysClr val="windowText" lastClr="000000"/>
              </a:solidFill>
              <a:latin typeface="Roboto Condensed" panose="02000000000000000000" pitchFamily="2" charset="0"/>
              <a:ea typeface="Roboto Condensed" panose="02000000000000000000" pitchFamily="2" charset="0"/>
            </a:endParaRPr>
          </a:p>
        </xdr:txBody>
      </xdr:sp>
      <xdr:sp macro="" textlink="">
        <xdr:nvSpPr>
          <xdr:cNvPr id="34" name="Rectangle: Rounded Corners 33">
            <a:extLst>
              <a:ext uri="{FF2B5EF4-FFF2-40B4-BE49-F238E27FC236}">
                <a16:creationId xmlns:a16="http://schemas.microsoft.com/office/drawing/2014/main" id="{B3593C73-7C93-13FD-48CD-0A02377F27CB}"/>
              </a:ext>
            </a:extLst>
          </xdr:cNvPr>
          <xdr:cNvSpPr/>
        </xdr:nvSpPr>
        <xdr:spPr>
          <a:xfrm>
            <a:off x="307751" y="1132670"/>
            <a:ext cx="1793281" cy="216646"/>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000" b="0">
                <a:solidFill>
                  <a:sysClr val="windowText" lastClr="000000"/>
                </a:solidFill>
                <a:latin typeface="Roboto Condensed" panose="02000000000000000000" pitchFamily="2" charset="0"/>
                <a:ea typeface="Roboto Condensed" panose="02000000000000000000" pitchFamily="2" charset="0"/>
              </a:rPr>
              <a:t>All campaigns </a:t>
            </a:r>
            <a:r>
              <a:rPr lang="en-US" sz="1100" b="0">
                <a:solidFill>
                  <a:sysClr val="windowText" lastClr="000000"/>
                </a:solidFill>
                <a:latin typeface="Roboto Condensed" panose="02000000000000000000" pitchFamily="2" charset="0"/>
                <a:ea typeface="Roboto Condensed" panose="02000000000000000000" pitchFamily="2" charset="0"/>
              </a:rPr>
              <a:t>combined</a:t>
            </a:r>
            <a:endParaRPr lang="en-US" sz="1000" b="0">
              <a:solidFill>
                <a:sysClr val="windowText" lastClr="000000"/>
              </a:solidFill>
              <a:latin typeface="Roboto Condensed" panose="02000000000000000000" pitchFamily="2" charset="0"/>
              <a:ea typeface="Roboto Condensed" panose="02000000000000000000" pitchFamily="2" charset="0"/>
            </a:endParaRPr>
          </a:p>
        </xdr:txBody>
      </xdr:sp>
    </xdr:grpSp>
    <xdr:clientData/>
  </xdr:twoCellAnchor>
  <xdr:twoCellAnchor>
    <xdr:from>
      <xdr:col>0</xdr:col>
      <xdr:colOff>266585</xdr:colOff>
      <xdr:row>0</xdr:row>
      <xdr:rowOff>173131</xdr:rowOff>
    </xdr:from>
    <xdr:to>
      <xdr:col>20</xdr:col>
      <xdr:colOff>381056</xdr:colOff>
      <xdr:row>6</xdr:row>
      <xdr:rowOff>21590</xdr:rowOff>
    </xdr:to>
    <xdr:grpSp>
      <xdr:nvGrpSpPr>
        <xdr:cNvPr id="36" name="Group 35">
          <a:extLst>
            <a:ext uri="{FF2B5EF4-FFF2-40B4-BE49-F238E27FC236}">
              <a16:creationId xmlns:a16="http://schemas.microsoft.com/office/drawing/2014/main" id="{5D99C96C-0640-01AA-0F3F-711301C783AB}"/>
            </a:ext>
          </a:extLst>
        </xdr:cNvPr>
        <xdr:cNvGrpSpPr/>
      </xdr:nvGrpSpPr>
      <xdr:grpSpPr>
        <a:xfrm>
          <a:off x="266585" y="169321"/>
          <a:ext cx="12274045" cy="942821"/>
          <a:chOff x="324802" y="455986"/>
          <a:chExt cx="3290753" cy="898431"/>
        </a:xfrm>
      </xdr:grpSpPr>
      <xdr:sp macro="" textlink="Preparation!A2">
        <xdr:nvSpPr>
          <xdr:cNvPr id="13" name="Rectangle 12">
            <a:extLst>
              <a:ext uri="{FF2B5EF4-FFF2-40B4-BE49-F238E27FC236}">
                <a16:creationId xmlns:a16="http://schemas.microsoft.com/office/drawing/2014/main" id="{A71B8A04-8B72-434E-9A1C-7BEB1C8E6A14}"/>
              </a:ext>
            </a:extLst>
          </xdr:cNvPr>
          <xdr:cNvSpPr/>
        </xdr:nvSpPr>
        <xdr:spPr>
          <a:xfrm>
            <a:off x="324802" y="455986"/>
            <a:ext cx="3290753" cy="898431"/>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2000" b="1" i="0" u="none" strike="noStrike">
              <a:solidFill>
                <a:sysClr val="windowText" lastClr="000000"/>
              </a:solidFill>
              <a:latin typeface="Roboto Condensed" panose="02000000000000000000" pitchFamily="2" charset="0"/>
              <a:ea typeface="Roboto Condensed" panose="02000000000000000000" pitchFamily="2" charset="0"/>
              <a:cs typeface="Calibri"/>
            </a:endParaRPr>
          </a:p>
        </xdr:txBody>
      </xdr:sp>
      <xdr:sp macro="" textlink="">
        <xdr:nvSpPr>
          <xdr:cNvPr id="15" name="Rectangle: Rounded Corners 14">
            <a:extLst>
              <a:ext uri="{FF2B5EF4-FFF2-40B4-BE49-F238E27FC236}">
                <a16:creationId xmlns:a16="http://schemas.microsoft.com/office/drawing/2014/main" id="{56E13601-BB4D-47FF-BF76-1C93DB603D7B}"/>
              </a:ext>
            </a:extLst>
          </xdr:cNvPr>
          <xdr:cNvSpPr/>
        </xdr:nvSpPr>
        <xdr:spPr>
          <a:xfrm>
            <a:off x="337906" y="707980"/>
            <a:ext cx="3253318" cy="238163"/>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800" b="1">
                <a:solidFill>
                  <a:sysClr val="windowText" lastClr="000000"/>
                </a:solidFill>
                <a:latin typeface="Roboto Condensed" panose="02000000000000000000" pitchFamily="2" charset="0"/>
                <a:ea typeface="Roboto Condensed" panose="02000000000000000000" pitchFamily="2" charset="0"/>
              </a:rPr>
              <a:t>Bank Telemarketing</a:t>
            </a:r>
            <a:r>
              <a:rPr lang="en-US" altLang="ja-JP" sz="1800" b="1">
                <a:solidFill>
                  <a:sysClr val="windowText" lastClr="000000"/>
                </a:solidFill>
                <a:latin typeface="Roboto Condensed" panose="02000000000000000000" pitchFamily="2" charset="0"/>
                <a:ea typeface="Roboto Condensed" panose="02000000000000000000" pitchFamily="2" charset="0"/>
              </a:rPr>
              <a:t>―</a:t>
            </a:r>
            <a:r>
              <a:rPr lang="en-US" sz="1800" b="1">
                <a:solidFill>
                  <a:sysClr val="windowText" lastClr="000000"/>
                </a:solidFill>
                <a:latin typeface="Roboto Condensed" panose="02000000000000000000" pitchFamily="2" charset="0"/>
                <a:ea typeface="Roboto Condensed" panose="02000000000000000000" pitchFamily="2" charset="0"/>
              </a:rPr>
              <a:t> Campaign Dashboard</a:t>
            </a:r>
          </a:p>
        </xdr:txBody>
      </xdr:sp>
      <xdr:sp macro="" textlink="">
        <xdr:nvSpPr>
          <xdr:cNvPr id="35" name="Rectangle: Rounded Corners 34">
            <a:extLst>
              <a:ext uri="{FF2B5EF4-FFF2-40B4-BE49-F238E27FC236}">
                <a16:creationId xmlns:a16="http://schemas.microsoft.com/office/drawing/2014/main" id="{2C66E147-1E2F-4937-BE46-FAF3A80DAA49}"/>
              </a:ext>
            </a:extLst>
          </xdr:cNvPr>
          <xdr:cNvSpPr/>
        </xdr:nvSpPr>
        <xdr:spPr>
          <a:xfrm>
            <a:off x="348087" y="942844"/>
            <a:ext cx="3245523" cy="22799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000" b="0">
                <a:solidFill>
                  <a:sysClr val="windowText" lastClr="000000"/>
                </a:solidFill>
                <a:latin typeface="Roboto Condensed" panose="02000000000000000000" pitchFamily="2" charset="0"/>
                <a:ea typeface="Roboto Condensed" panose="02000000000000000000" pitchFamily="2" charset="0"/>
              </a:rPr>
              <a:t>Portugal · May 2008 – Nov 2010 · 45,211 contacts</a:t>
            </a:r>
          </a:p>
        </xdr:txBody>
      </xdr:sp>
    </xdr:grpSp>
    <xdr:clientData/>
  </xdr:twoCellAnchor>
  <xdr:twoCellAnchor>
    <xdr:from>
      <xdr:col>0</xdr:col>
      <xdr:colOff>245477</xdr:colOff>
      <xdr:row>12</xdr:row>
      <xdr:rowOff>11222</xdr:rowOff>
    </xdr:from>
    <xdr:to>
      <xdr:col>20</xdr:col>
      <xdr:colOff>381056</xdr:colOff>
      <xdr:row>59</xdr:row>
      <xdr:rowOff>1516</xdr:rowOff>
    </xdr:to>
    <xdr:sp macro="" textlink="Preparation!A2">
      <xdr:nvSpPr>
        <xdr:cNvPr id="38" name="Rectangle 37">
          <a:extLst>
            <a:ext uri="{FF2B5EF4-FFF2-40B4-BE49-F238E27FC236}">
              <a16:creationId xmlns:a16="http://schemas.microsoft.com/office/drawing/2014/main" id="{7D9DC12F-8647-94BC-7926-025A9AEBF89F}"/>
            </a:ext>
          </a:extLst>
        </xdr:cNvPr>
        <xdr:cNvSpPr/>
      </xdr:nvSpPr>
      <xdr:spPr>
        <a:xfrm>
          <a:off x="245477" y="2188365"/>
          <a:ext cx="12230817" cy="8547675"/>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2000" b="1" i="0" u="none" strike="noStrike">
            <a:solidFill>
              <a:sysClr val="windowText" lastClr="000000"/>
            </a:solidFill>
            <a:latin typeface="Roboto Condensed" panose="02000000000000000000" pitchFamily="2" charset="0"/>
            <a:ea typeface="Roboto Condensed" panose="02000000000000000000" pitchFamily="2" charset="0"/>
            <a:cs typeface="Calibri"/>
          </a:endParaRPr>
        </a:p>
      </xdr:txBody>
    </xdr:sp>
    <xdr:clientData/>
  </xdr:twoCellAnchor>
  <xdr:twoCellAnchor>
    <xdr:from>
      <xdr:col>0</xdr:col>
      <xdr:colOff>320764</xdr:colOff>
      <xdr:row>12</xdr:row>
      <xdr:rowOff>98258</xdr:rowOff>
    </xdr:from>
    <xdr:to>
      <xdr:col>20</xdr:col>
      <xdr:colOff>276225</xdr:colOff>
      <xdr:row>29</xdr:row>
      <xdr:rowOff>56029</xdr:rowOff>
    </xdr:to>
    <xdr:graphicFrame macro="">
      <xdr:nvGraphicFramePr>
        <xdr:cNvPr id="2" name="Chart 1">
          <a:extLst>
            <a:ext uri="{FF2B5EF4-FFF2-40B4-BE49-F238E27FC236}">
              <a16:creationId xmlns:a16="http://schemas.microsoft.com/office/drawing/2014/main" id="{4B566A74-DC52-46D4-A617-7CAECE419B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322662</xdr:colOff>
      <xdr:row>44</xdr:row>
      <xdr:rowOff>170929</xdr:rowOff>
    </xdr:from>
    <xdr:to>
      <xdr:col>4</xdr:col>
      <xdr:colOff>544590</xdr:colOff>
      <xdr:row>58</xdr:row>
      <xdr:rowOff>64981</xdr:rowOff>
    </xdr:to>
    <xdr:graphicFrame macro="">
      <xdr:nvGraphicFramePr>
        <xdr:cNvPr id="7" name="Chart 6">
          <a:extLst>
            <a:ext uri="{FF2B5EF4-FFF2-40B4-BE49-F238E27FC236}">
              <a16:creationId xmlns:a16="http://schemas.microsoft.com/office/drawing/2014/main" id="{EF1FFA9B-4A4B-4DD0-B1F5-4D0E096D94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264305</xdr:colOff>
      <xdr:row>44</xdr:row>
      <xdr:rowOff>170929</xdr:rowOff>
    </xdr:from>
    <xdr:to>
      <xdr:col>20</xdr:col>
      <xdr:colOff>287741</xdr:colOff>
      <xdr:row>58</xdr:row>
      <xdr:rowOff>71179</xdr:rowOff>
    </xdr:to>
    <xdr:graphicFrame macro="">
      <xdr:nvGraphicFramePr>
        <xdr:cNvPr id="8" name="Chart 7">
          <a:extLst>
            <a:ext uri="{FF2B5EF4-FFF2-40B4-BE49-F238E27FC236}">
              <a16:creationId xmlns:a16="http://schemas.microsoft.com/office/drawing/2014/main" id="{951D63B9-DA9B-4C1D-AB70-578D04CB90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324574</xdr:colOff>
      <xdr:row>29</xdr:row>
      <xdr:rowOff>169968</xdr:rowOff>
    </xdr:from>
    <xdr:to>
      <xdr:col>6</xdr:col>
      <xdr:colOff>587957</xdr:colOff>
      <xdr:row>44</xdr:row>
      <xdr:rowOff>57972</xdr:rowOff>
    </xdr:to>
    <xdr:graphicFrame macro="">
      <xdr:nvGraphicFramePr>
        <xdr:cNvPr id="4" name="Chart 3">
          <a:extLst>
            <a:ext uri="{FF2B5EF4-FFF2-40B4-BE49-F238E27FC236}">
              <a16:creationId xmlns:a16="http://schemas.microsoft.com/office/drawing/2014/main" id="{0FB78D2D-67F6-4327-9155-9B77189309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17348</xdr:colOff>
      <xdr:row>29</xdr:row>
      <xdr:rowOff>173674</xdr:rowOff>
    </xdr:from>
    <xdr:to>
      <xdr:col>20</xdr:col>
      <xdr:colOff>287773</xdr:colOff>
      <xdr:row>44</xdr:row>
      <xdr:rowOff>40623</xdr:rowOff>
    </xdr:to>
    <xdr:graphicFrame macro="">
      <xdr:nvGraphicFramePr>
        <xdr:cNvPr id="6" name="Chart 5">
          <a:extLst>
            <a:ext uri="{FF2B5EF4-FFF2-40B4-BE49-F238E27FC236}">
              <a16:creationId xmlns:a16="http://schemas.microsoft.com/office/drawing/2014/main" id="{F0988570-6D3A-4121-BFA1-A1C18FABB1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108367</xdr:colOff>
      <xdr:row>30</xdr:row>
      <xdr:rowOff>1</xdr:rowOff>
    </xdr:from>
    <xdr:to>
      <xdr:col>13</xdr:col>
      <xdr:colOff>504558</xdr:colOff>
      <xdr:row>44</xdr:row>
      <xdr:rowOff>58851</xdr:rowOff>
    </xdr:to>
    <xdr:graphicFrame macro="">
      <xdr:nvGraphicFramePr>
        <xdr:cNvPr id="11" name="Chart 10">
          <a:extLst>
            <a:ext uri="{FF2B5EF4-FFF2-40B4-BE49-F238E27FC236}">
              <a16:creationId xmlns:a16="http://schemas.microsoft.com/office/drawing/2014/main" id="{0624006D-3068-412E-8B2A-409878FECC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232028</xdr:colOff>
      <xdr:row>1</xdr:row>
      <xdr:rowOff>129803</xdr:rowOff>
    </xdr:from>
    <xdr:to>
      <xdr:col>9</xdr:col>
      <xdr:colOff>370554</xdr:colOff>
      <xdr:row>5</xdr:row>
      <xdr:rowOff>57132</xdr:rowOff>
    </xdr:to>
    <mc:AlternateContent xmlns:mc="http://schemas.openxmlformats.org/markup-compatibility/2006" xmlns:a14="http://schemas.microsoft.com/office/drawing/2010/main">
      <mc:Choice Requires="a14">
        <xdr:graphicFrame macro="">
          <xdr:nvGraphicFramePr>
            <xdr:cNvPr id="43" name="housing">
              <a:extLst>
                <a:ext uri="{FF2B5EF4-FFF2-40B4-BE49-F238E27FC236}">
                  <a16:creationId xmlns:a16="http://schemas.microsoft.com/office/drawing/2014/main" id="{5CCE321C-A6CB-4D87-BB42-73AB789B7B21}"/>
                </a:ext>
              </a:extLst>
            </xdr:cNvPr>
            <xdr:cNvGraphicFramePr/>
          </xdr:nvGraphicFramePr>
          <xdr:xfrm>
            <a:off x="0" y="0"/>
            <a:ext cx="0" cy="0"/>
          </xdr:xfrm>
          <a:graphic>
            <a:graphicData uri="http://schemas.microsoft.com/office/drawing/2010/slicer">
              <sle:slicer xmlns:sle="http://schemas.microsoft.com/office/drawing/2010/slicer" name="housing"/>
            </a:graphicData>
          </a:graphic>
        </xdr:graphicFrame>
      </mc:Choice>
      <mc:Fallback xmlns="">
        <xdr:sp macro="" textlink="">
          <xdr:nvSpPr>
            <xdr:cNvPr id="0" name=""/>
            <xdr:cNvSpPr>
              <a:spLocks noTextEdit="1"/>
            </xdr:cNvSpPr>
          </xdr:nvSpPr>
          <xdr:spPr>
            <a:xfrm>
              <a:off x="4496825" y="313816"/>
              <a:ext cx="1355135" cy="648140"/>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435716</xdr:colOff>
      <xdr:row>1</xdr:row>
      <xdr:rowOff>133613</xdr:rowOff>
    </xdr:from>
    <xdr:to>
      <xdr:col>11</xdr:col>
      <xdr:colOff>515689</xdr:colOff>
      <xdr:row>5</xdr:row>
      <xdr:rowOff>59531</xdr:rowOff>
    </xdr:to>
    <mc:AlternateContent xmlns:mc="http://schemas.openxmlformats.org/markup-compatibility/2006" xmlns:a14="http://schemas.microsoft.com/office/drawing/2010/main">
      <mc:Choice Requires="a14">
        <xdr:graphicFrame macro="">
          <xdr:nvGraphicFramePr>
            <xdr:cNvPr id="45" name="loan">
              <a:extLst>
                <a:ext uri="{FF2B5EF4-FFF2-40B4-BE49-F238E27FC236}">
                  <a16:creationId xmlns:a16="http://schemas.microsoft.com/office/drawing/2014/main" id="{C9C385B0-FF54-FA2E-8484-05150580C73B}"/>
                </a:ext>
              </a:extLst>
            </xdr:cNvPr>
            <xdr:cNvGraphicFramePr/>
          </xdr:nvGraphicFramePr>
          <xdr:xfrm>
            <a:off x="0" y="0"/>
            <a:ext cx="0" cy="0"/>
          </xdr:xfrm>
          <a:graphic>
            <a:graphicData uri="http://schemas.microsoft.com/office/drawing/2010/slicer">
              <sle:slicer xmlns:sle="http://schemas.microsoft.com/office/drawing/2010/slicer" name="loan"/>
            </a:graphicData>
          </a:graphic>
        </xdr:graphicFrame>
      </mc:Choice>
      <mc:Fallback xmlns="">
        <xdr:sp macro="" textlink="">
          <xdr:nvSpPr>
            <xdr:cNvPr id="0" name=""/>
            <xdr:cNvSpPr>
              <a:spLocks noTextEdit="1"/>
            </xdr:cNvSpPr>
          </xdr:nvSpPr>
          <xdr:spPr>
            <a:xfrm>
              <a:off x="5922837" y="310006"/>
              <a:ext cx="1290866" cy="646729"/>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592281</xdr:colOff>
      <xdr:row>1</xdr:row>
      <xdr:rowOff>129803</xdr:rowOff>
    </xdr:from>
    <xdr:to>
      <xdr:col>15</xdr:col>
      <xdr:colOff>327269</xdr:colOff>
      <xdr:row>5</xdr:row>
      <xdr:rowOff>52924</xdr:rowOff>
    </xdr:to>
    <mc:AlternateContent xmlns:mc="http://schemas.openxmlformats.org/markup-compatibility/2006" xmlns:a14="http://schemas.microsoft.com/office/drawing/2010/main">
      <mc:Choice Requires="a14">
        <xdr:graphicFrame macro="">
          <xdr:nvGraphicFramePr>
            <xdr:cNvPr id="46" name="marital">
              <a:extLst>
                <a:ext uri="{FF2B5EF4-FFF2-40B4-BE49-F238E27FC236}">
                  <a16:creationId xmlns:a16="http://schemas.microsoft.com/office/drawing/2014/main" id="{3733E6F6-DF49-533C-B047-9B1D25B09C45}"/>
                </a:ext>
              </a:extLst>
            </xdr:cNvPr>
            <xdr:cNvGraphicFramePr/>
          </xdr:nvGraphicFramePr>
          <xdr:xfrm>
            <a:off x="0" y="0"/>
            <a:ext cx="0" cy="0"/>
          </xdr:xfrm>
          <a:graphic>
            <a:graphicData uri="http://schemas.microsoft.com/office/drawing/2010/slicer">
              <sle:slicer xmlns:sle="http://schemas.microsoft.com/office/drawing/2010/slicer" name="marital"/>
            </a:graphicData>
          </a:graphic>
        </xdr:graphicFrame>
      </mc:Choice>
      <mc:Fallback xmlns="">
        <xdr:sp macro="" textlink="">
          <xdr:nvSpPr>
            <xdr:cNvPr id="0" name=""/>
            <xdr:cNvSpPr>
              <a:spLocks noTextEdit="1"/>
            </xdr:cNvSpPr>
          </xdr:nvSpPr>
          <xdr:spPr>
            <a:xfrm>
              <a:off x="7290295" y="313816"/>
              <a:ext cx="2172015" cy="643932"/>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396240</xdr:colOff>
      <xdr:row>1</xdr:row>
      <xdr:rowOff>129803</xdr:rowOff>
    </xdr:from>
    <xdr:to>
      <xdr:col>20</xdr:col>
      <xdr:colOff>206585</xdr:colOff>
      <xdr:row>5</xdr:row>
      <xdr:rowOff>49677</xdr:rowOff>
    </xdr:to>
    <mc:AlternateContent xmlns:mc="http://schemas.openxmlformats.org/markup-compatibility/2006" xmlns:a14="http://schemas.microsoft.com/office/drawing/2010/main">
      <mc:Choice Requires="a14">
        <xdr:graphicFrame macro="">
          <xdr:nvGraphicFramePr>
            <xdr:cNvPr id="47" name="education">
              <a:extLst>
                <a:ext uri="{FF2B5EF4-FFF2-40B4-BE49-F238E27FC236}">
                  <a16:creationId xmlns:a16="http://schemas.microsoft.com/office/drawing/2014/main" id="{C994DE3A-3828-6526-E012-68D1E51D9E61}"/>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9538901" y="313816"/>
              <a:ext cx="2856629" cy="640685"/>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43450</xdr:colOff>
      <xdr:row>44</xdr:row>
      <xdr:rowOff>174739</xdr:rowOff>
    </xdr:from>
    <xdr:to>
      <xdr:col>10</xdr:col>
      <xdr:colOff>157750</xdr:colOff>
      <xdr:row>58</xdr:row>
      <xdr:rowOff>76200</xdr:rowOff>
    </xdr:to>
    <xdr:graphicFrame macro="">
      <xdr:nvGraphicFramePr>
        <xdr:cNvPr id="3" name="Chart 2">
          <a:extLst>
            <a:ext uri="{FF2B5EF4-FFF2-40B4-BE49-F238E27FC236}">
              <a16:creationId xmlns:a16="http://schemas.microsoft.com/office/drawing/2014/main" id="{4A8AD717-4343-40C8-A68E-2508B05720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xioo Pongo" refreshedDate="46135.232381944443" createdVersion="5" refreshedVersion="8" minRefreshableVersion="3" recordCount="0" supportSubquery="1" supportAdvancedDrill="1" xr:uid="{1856ECE6-232E-4EBD-A7A6-86524ABC0F6F}">
  <cacheSource type="external" connectionId="2"/>
  <cacheFields count="5">
    <cacheField name="[Measures].[Total Contacts]" caption="Total Contacts" numFmtId="0" hierarchy="21" level="32767"/>
    <cacheField name="[bank-full].[loan].[loan]" caption="loan" numFmtId="0" hierarchy="7" level="1">
      <sharedItems containsSemiMixedTypes="0" containsNonDate="0" containsString="0"/>
    </cacheField>
    <cacheField name="[bank-full].[housing].[housing]" caption="housing" numFmtId="0" hierarchy="6" level="1">
      <sharedItems containsSemiMixedTypes="0" containsNonDate="0" containsString="0"/>
    </cacheField>
    <cacheField name="[bank-full].[marital].[marital]" caption="marital" numFmtId="0" hierarchy="2" level="1">
      <sharedItems containsSemiMixedTypes="0" containsNonDate="0" containsString="0"/>
    </cacheField>
    <cacheField name="[bank-full].[education].[education]" caption="education" numFmtId="0" hierarchy="3" level="1">
      <sharedItems containsSemiMixedTypes="0" containsNonDate="0" containsString="0"/>
    </cacheField>
  </cacheFields>
  <cacheHierarchies count="34">
    <cacheHierarchy uniqueName="[bank-full].[age]" caption="age" attribute="1" defaultMemberUniqueName="[bank-full].[age].[All]" allUniqueName="[bank-full].[age].[All]" dimensionUniqueName="[bank-full]" displayFolder="" count="0" memberValueDatatype="20" unbalanced="0"/>
    <cacheHierarchy uniqueName="[bank-full].[job]" caption="job" attribute="1" defaultMemberUniqueName="[bank-full].[job].[All]" allUniqueName="[bank-full].[job].[All]" dimensionUniqueName="[bank-full]" displayFolder="" count="0" memberValueDatatype="130" unbalanced="0"/>
    <cacheHierarchy uniqueName="[bank-full].[marital]" caption="marital" attribute="1" defaultMemberUniqueName="[bank-full].[marital].[All]" allUniqueName="[bank-full].[marital].[All]" dimensionUniqueName="[bank-full]" displayFolder="" count="2" memberValueDatatype="130" unbalanced="0">
      <fieldsUsage count="2">
        <fieldUsage x="-1"/>
        <fieldUsage x="3"/>
      </fieldsUsage>
    </cacheHierarchy>
    <cacheHierarchy uniqueName="[bank-full].[education]" caption="education" attribute="1" defaultMemberUniqueName="[bank-full].[education].[All]" allUniqueName="[bank-full].[education].[All]" dimensionUniqueName="[bank-full]" displayFolder="" count="2" memberValueDatatype="130" unbalanced="0">
      <fieldsUsage count="2">
        <fieldUsage x="-1"/>
        <fieldUsage x="4"/>
      </fieldsUsage>
    </cacheHierarchy>
    <cacheHierarchy uniqueName="[bank-full].[default]" caption="default" attribute="1" defaultMemberUniqueName="[bank-full].[default].[All]" allUniqueName="[bank-full].[default].[All]" dimensionUniqueName="[bank-full]" displayFolder="" count="0" memberValueDatatype="130" unbalanced="0"/>
    <cacheHierarchy uniqueName="[bank-full].[balance]" caption="balance" attribute="1" defaultMemberUniqueName="[bank-full].[balance].[All]" allUniqueName="[bank-full].[balance].[All]" dimensionUniqueName="[bank-full]" displayFolder="" count="0" memberValueDatatype="20" unbalanced="0"/>
    <cacheHierarchy uniqueName="[bank-full].[housing]" caption="housing" attribute="1" defaultMemberUniqueName="[bank-full].[housing].[All]" allUniqueName="[bank-full].[housing].[All]" dimensionUniqueName="[bank-full]" displayFolder="" count="2" memberValueDatatype="130" unbalanced="0">
      <fieldsUsage count="2">
        <fieldUsage x="-1"/>
        <fieldUsage x="2"/>
      </fieldsUsage>
    </cacheHierarchy>
    <cacheHierarchy uniqueName="[bank-full].[loan]" caption="loan" attribute="1" defaultMemberUniqueName="[bank-full].[loan].[All]" allUniqueName="[bank-full].[loan].[All]" dimensionUniqueName="[bank-full]" displayFolder="" count="2" memberValueDatatype="130" unbalanced="0">
      <fieldsUsage count="2">
        <fieldUsage x="-1"/>
        <fieldUsage x="1"/>
      </fieldsUsage>
    </cacheHierarchy>
    <cacheHierarchy uniqueName="[bank-full].[contact]" caption="contact" attribute="1" defaultMemberUniqueName="[bank-full].[contact].[All]" allUniqueName="[bank-full].[contact].[All]" dimensionUniqueName="[bank-full]" displayFolder="" count="0" memberValueDatatype="130" unbalanced="0"/>
    <cacheHierarchy uniqueName="[bank-full].[day]" caption="day" attribute="1" defaultMemberUniqueName="[bank-full].[day].[All]" allUniqueName="[bank-full].[day].[All]" dimensionUniqueName="[bank-full]" displayFolder="" count="0" memberValueDatatype="20" unbalanced="0"/>
    <cacheHierarchy uniqueName="[bank-full].[month]" caption="month" attribute="1" defaultMemberUniqueName="[bank-full].[month].[All]" allUniqueName="[bank-full].[month].[All]" dimensionUniqueName="[bank-full]" displayFolder="" count="0" memberValueDatatype="130" unbalanced="0"/>
    <cacheHierarchy uniqueName="[bank-full].[duration]" caption="duration" attribute="1" defaultMemberUniqueName="[bank-full].[duration].[All]" allUniqueName="[bank-full].[duration].[All]" dimensionUniqueName="[bank-full]" displayFolder="" count="0" memberValueDatatype="20" unbalanced="0"/>
    <cacheHierarchy uniqueName="[bank-full].[campaign]" caption="campaign" attribute="1" defaultMemberUniqueName="[bank-full].[campaign].[All]" allUniqueName="[bank-full].[campaign].[All]" dimensionUniqueName="[bank-full]" displayFolder="" count="0" memberValueDatatype="20" unbalanced="0"/>
    <cacheHierarchy uniqueName="[bank-full].[pdays]" caption="pdays" attribute="1" defaultMemberUniqueName="[bank-full].[pdays].[All]" allUniqueName="[bank-full].[pdays].[All]" dimensionUniqueName="[bank-full]" displayFolder="" count="0" memberValueDatatype="20" unbalanced="0"/>
    <cacheHierarchy uniqueName="[bank-full].[previous]" caption="previous" attribute="1" defaultMemberUniqueName="[bank-full].[previous].[All]" allUniqueName="[bank-full].[previous].[All]" dimensionUniqueName="[bank-full]" displayFolder="" count="0" memberValueDatatype="20" unbalanced="0"/>
    <cacheHierarchy uniqueName="[bank-full].[poutcome]" caption="poutcome" attribute="1" defaultMemberUniqueName="[bank-full].[poutcome].[All]" allUniqueName="[bank-full].[poutcome].[All]" dimensionUniqueName="[bank-full]" displayFolder="" count="0" memberValueDatatype="130" unbalanced="0"/>
    <cacheHierarchy uniqueName="[bank-full].[y]" caption="y" attribute="1" defaultMemberUniqueName="[bank-full].[y].[All]" allUniqueName="[bank-full].[y].[All]" dimensionUniqueName="[bank-full]" displayFolder="" count="0" memberValueDatatype="130" unbalanced="0"/>
    <cacheHierarchy uniqueName="[bank-full].[Subscribed]" caption="Subscribed" attribute="1" defaultMemberUniqueName="[bank-full].[Subscribed].[All]" allUniqueName="[bank-full].[Subscribed].[All]" dimensionUniqueName="[bank-full]" displayFolder="" count="0" memberValueDatatype="20" unbalanced="0"/>
    <cacheHierarchy uniqueName="[bank-full].[Not Subscribed]" caption="Not Subscribed" attribute="1" defaultMemberUniqueName="[bank-full].[Not Subscribed].[All]" allUniqueName="[bank-full].[Not Subscribed].[All]" dimensionUniqueName="[bank-full]" displayFolder="" count="0" memberValueDatatype="20" unbalanced="0"/>
    <cacheHierarchy uniqueName="[bank-full].[Age Group]" caption="Age Group" attribute="1" defaultMemberUniqueName="[bank-full].[Age Group].[All]" allUniqueName="[bank-full].[Age Group].[All]" dimensionUniqueName="[bank-full]" displayFolder="" count="0" memberValueDatatype="130" unbalanced="0"/>
    <cacheHierarchy uniqueName="[bank-full].[Balance Tier]" caption="Balance Tier" attribute="1" defaultMemberUniqueName="[bank-full].[Balance Tier].[All]" allUniqueName="[bank-full].[Balance Tier].[All]" dimensionUniqueName="[bank-full]" displayFolder="" count="0" memberValueDatatype="130" unbalanced="0"/>
    <cacheHierarchy uniqueName="[Measures].[Total Contacts]" caption="Total Contacts" measure="1" displayFolder="" measureGroup="bank-full" count="0" oneField="1">
      <fieldsUsage count="1">
        <fieldUsage x="0"/>
      </fieldsUsage>
    </cacheHierarchy>
    <cacheHierarchy uniqueName="[Measures].[Total Subscriptions]" caption="Total Subscriptions" measure="1" displayFolder="" measureGroup="bank-full" count="0"/>
    <cacheHierarchy uniqueName="[Measures].[AVG Call Durations]" caption="AVG Call Durations" measure="1" displayFolder="" measureGroup="bank-full" count="0"/>
    <cacheHierarchy uniqueName="[Measures].[AVG Contacts/Client]" caption="AVG Contacts/Client" measure="1" displayFolder="" measureGroup="bank-full" count="0"/>
    <cacheHierarchy uniqueName="[Measures].[__XL_Count bank-full]" caption="__XL_Count bank-full" measure="1" displayFolder="" measureGroup="bank-full" count="0" hidden="1"/>
    <cacheHierarchy uniqueName="[Measures].[__No measures defined]" caption="__No measures defined" measure="1" displayFolder="" count="0" hidden="1"/>
    <cacheHierarchy uniqueName="[Measures].[Count of y]" caption="Count of y" measure="1" displayFolder="" measureGroup="bank-full" count="0" hidden="1">
      <extLst>
        <ext xmlns:x15="http://schemas.microsoft.com/office/spreadsheetml/2010/11/main" uri="{B97F6D7D-B522-45F9-BDA1-12C45D357490}">
          <x15:cacheHierarchy aggregatedColumn="16"/>
        </ext>
      </extLst>
    </cacheHierarchy>
    <cacheHierarchy uniqueName="[Measures].[Sum of Subscribed]" caption="Sum of Subscribed" measure="1" displayFolder="" measureGroup="bank-full" count="0" hidden="1">
      <extLst>
        <ext xmlns:x15="http://schemas.microsoft.com/office/spreadsheetml/2010/11/main" uri="{B97F6D7D-B522-45F9-BDA1-12C45D357490}">
          <x15:cacheHierarchy aggregatedColumn="17"/>
        </ext>
      </extLst>
    </cacheHierarchy>
    <cacheHierarchy uniqueName="[Measures].[Count of Subscribed]" caption="Count of Subscribed" measure="1" displayFolder="" measureGroup="bank-full" count="0" hidden="1">
      <extLst>
        <ext xmlns:x15="http://schemas.microsoft.com/office/spreadsheetml/2010/11/main" uri="{B97F6D7D-B522-45F9-BDA1-12C45D357490}">
          <x15:cacheHierarchy aggregatedColumn="17"/>
        </ext>
      </extLst>
    </cacheHierarchy>
    <cacheHierarchy uniqueName="[Measures].[Sum of Not Subscribed]" caption="Sum of Not Subscribed" measure="1" displayFolder="" measureGroup="bank-full" count="0" hidden="1">
      <extLst>
        <ext xmlns:x15="http://schemas.microsoft.com/office/spreadsheetml/2010/11/main" uri="{B97F6D7D-B522-45F9-BDA1-12C45D357490}">
          <x15:cacheHierarchy aggregatedColumn="18"/>
        </ext>
      </extLst>
    </cacheHierarchy>
    <cacheHierarchy uniqueName="[Measures].[Average of Subscribed]" caption="Average of Subscribed" measure="1" displayFolder="" measureGroup="bank-full" count="0" hidden="1">
      <extLst>
        <ext xmlns:x15="http://schemas.microsoft.com/office/spreadsheetml/2010/11/main" uri="{B97F6D7D-B522-45F9-BDA1-12C45D357490}">
          <x15:cacheHierarchy aggregatedColumn="17"/>
        </ext>
      </extLst>
    </cacheHierarchy>
    <cacheHierarchy uniqueName="[Measures].[Sum of previous]" caption="Sum of previous" measure="1" displayFolder="" measureGroup="bank-full" count="0" hidden="1">
      <extLst>
        <ext xmlns:x15="http://schemas.microsoft.com/office/spreadsheetml/2010/11/main" uri="{B97F6D7D-B522-45F9-BDA1-12C45D357490}">
          <x15:cacheHierarchy aggregatedColumn="14"/>
        </ext>
      </extLst>
    </cacheHierarchy>
    <cacheHierarchy uniqueName="[Measures].[Count of contact]" caption="Count of contact" measure="1" displayFolder="" measureGroup="bank-full" count="0" hidden="1">
      <extLst>
        <ext xmlns:x15="http://schemas.microsoft.com/office/spreadsheetml/2010/11/main" uri="{B97F6D7D-B522-45F9-BDA1-12C45D357490}">
          <x15:cacheHierarchy aggregatedColumn="8"/>
        </ext>
      </extLst>
    </cacheHierarchy>
  </cacheHierarchies>
  <kpis count="0"/>
  <dimensions count="2">
    <dimension name="bank-full" uniqueName="[bank-full]" caption="bank-full"/>
    <dimension measure="1" name="Measures" uniqueName="[Measures]" caption="Measures"/>
  </dimensions>
  <measureGroups count="1">
    <measureGroup name="bank-full" caption="bank-full"/>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xioo Pongo" refreshedDate="46135.232383449074" createdVersion="5" refreshedVersion="8" minRefreshableVersion="3" recordCount="0" supportSubquery="1" supportAdvancedDrill="1" xr:uid="{08F47057-84BD-46F8-8CD3-D30ED52EDE13}">
  <cacheSource type="external" connectionId="2"/>
  <cacheFields count="7">
    <cacheField name="[bank-full].[campaign].[campaign]" caption="campaign" numFmtId="0" hierarchy="12" level="1">
      <sharedItems containsSemiMixedTypes="0" containsString="0" containsNumber="1" containsInteger="1" minValue="1" maxValue="6" count="6">
        <n v="1"/>
        <n v="2"/>
        <n v="3"/>
        <n v="4"/>
        <n v="5"/>
        <n v="6"/>
      </sharedItems>
      <extLst>
        <ext xmlns:x15="http://schemas.microsoft.com/office/spreadsheetml/2010/11/main" uri="{4F2E5C28-24EA-4eb8-9CBF-B6C8F9C3D259}">
          <x15:cachedUniqueNames>
            <x15:cachedUniqueName index="0" name="[bank-full].[campaign].&amp;[1]"/>
            <x15:cachedUniqueName index="1" name="[bank-full].[campaign].&amp;[2]"/>
            <x15:cachedUniqueName index="2" name="[bank-full].[campaign].&amp;[3]"/>
            <x15:cachedUniqueName index="3" name="[bank-full].[campaign].&amp;[4]"/>
            <x15:cachedUniqueName index="4" name="[bank-full].[campaign].&amp;[5]"/>
            <x15:cachedUniqueName index="5" name="[bank-full].[campaign].&amp;[6]"/>
          </x15:cachedUniqueNames>
        </ext>
      </extLst>
    </cacheField>
    <cacheField name="[bank-full].[poutcome].[poutcome]" caption="poutcome" numFmtId="0" hierarchy="15" level="1">
      <sharedItems count="4">
        <s v="Failure"/>
        <s v="No prior contact"/>
        <s v="Other"/>
        <s v="Success"/>
      </sharedItems>
    </cacheField>
    <cacheField name="[Measures].[Sum of previous]" caption="Sum of previous" numFmtId="0" hierarchy="32" level="32767"/>
    <cacheField name="[bank-full].[loan].[loan]" caption="loan" numFmtId="0" hierarchy="7" level="1">
      <sharedItems containsSemiMixedTypes="0" containsNonDate="0" containsString="0"/>
    </cacheField>
    <cacheField name="[bank-full].[housing].[housing]" caption="housing" numFmtId="0" hierarchy="6" level="1">
      <sharedItems containsSemiMixedTypes="0" containsNonDate="0" containsString="0"/>
    </cacheField>
    <cacheField name="[bank-full].[marital].[marital]" caption="marital" numFmtId="0" hierarchy="2" level="1">
      <sharedItems containsSemiMixedTypes="0" containsNonDate="0" containsString="0"/>
    </cacheField>
    <cacheField name="[bank-full].[education].[education]" caption="education" numFmtId="0" hierarchy="3" level="1">
      <sharedItems containsSemiMixedTypes="0" containsNonDate="0" containsString="0"/>
    </cacheField>
  </cacheFields>
  <cacheHierarchies count="34">
    <cacheHierarchy uniqueName="[bank-full].[age]" caption="age" attribute="1" defaultMemberUniqueName="[bank-full].[age].[All]" allUniqueName="[bank-full].[age].[All]" dimensionUniqueName="[bank-full]" displayFolder="" count="0" memberValueDatatype="20" unbalanced="0"/>
    <cacheHierarchy uniqueName="[bank-full].[job]" caption="job" attribute="1" defaultMemberUniqueName="[bank-full].[job].[All]" allUniqueName="[bank-full].[job].[All]" dimensionUniqueName="[bank-full]" displayFolder="" count="0" memberValueDatatype="130" unbalanced="0"/>
    <cacheHierarchy uniqueName="[bank-full].[marital]" caption="marital" attribute="1" defaultMemberUniqueName="[bank-full].[marital].[All]" allUniqueName="[bank-full].[marital].[All]" dimensionUniqueName="[bank-full]" displayFolder="" count="2" memberValueDatatype="130" unbalanced="0">
      <fieldsUsage count="2">
        <fieldUsage x="-1"/>
        <fieldUsage x="5"/>
      </fieldsUsage>
    </cacheHierarchy>
    <cacheHierarchy uniqueName="[bank-full].[education]" caption="education" attribute="1" defaultMemberUniqueName="[bank-full].[education].[All]" allUniqueName="[bank-full].[education].[All]" dimensionUniqueName="[bank-full]" displayFolder="" count="2" memberValueDatatype="130" unbalanced="0">
      <fieldsUsage count="2">
        <fieldUsage x="-1"/>
        <fieldUsage x="6"/>
      </fieldsUsage>
    </cacheHierarchy>
    <cacheHierarchy uniqueName="[bank-full].[default]" caption="default" attribute="1" defaultMemberUniqueName="[bank-full].[default].[All]" allUniqueName="[bank-full].[default].[All]" dimensionUniqueName="[bank-full]" displayFolder="" count="0" memberValueDatatype="130" unbalanced="0"/>
    <cacheHierarchy uniqueName="[bank-full].[balance]" caption="balance" attribute="1" defaultMemberUniqueName="[bank-full].[balance].[All]" allUniqueName="[bank-full].[balance].[All]" dimensionUniqueName="[bank-full]" displayFolder="" count="0" memberValueDatatype="20" unbalanced="0"/>
    <cacheHierarchy uniqueName="[bank-full].[housing]" caption="housing" attribute="1" defaultMemberUniqueName="[bank-full].[housing].[All]" allUniqueName="[bank-full].[housing].[All]" dimensionUniqueName="[bank-full]" displayFolder="" count="2" memberValueDatatype="130" unbalanced="0">
      <fieldsUsage count="2">
        <fieldUsage x="-1"/>
        <fieldUsage x="4"/>
      </fieldsUsage>
    </cacheHierarchy>
    <cacheHierarchy uniqueName="[bank-full].[loan]" caption="loan" attribute="1" defaultMemberUniqueName="[bank-full].[loan].[All]" allUniqueName="[bank-full].[loan].[All]" dimensionUniqueName="[bank-full]" displayFolder="" count="2" memberValueDatatype="130" unbalanced="0">
      <fieldsUsage count="2">
        <fieldUsage x="-1"/>
        <fieldUsage x="3"/>
      </fieldsUsage>
    </cacheHierarchy>
    <cacheHierarchy uniqueName="[bank-full].[contact]" caption="contact" attribute="1" defaultMemberUniqueName="[bank-full].[contact].[All]" allUniqueName="[bank-full].[contact].[All]" dimensionUniqueName="[bank-full]" displayFolder="" count="0" memberValueDatatype="130" unbalanced="0"/>
    <cacheHierarchy uniqueName="[bank-full].[day]" caption="day" attribute="1" defaultMemberUniqueName="[bank-full].[day].[All]" allUniqueName="[bank-full].[day].[All]" dimensionUniqueName="[bank-full]" displayFolder="" count="0" memberValueDatatype="20" unbalanced="0"/>
    <cacheHierarchy uniqueName="[bank-full].[month]" caption="month" attribute="1" defaultMemberUniqueName="[bank-full].[month].[All]" allUniqueName="[bank-full].[month].[All]" dimensionUniqueName="[bank-full]" displayFolder="" count="0" memberValueDatatype="130" unbalanced="0"/>
    <cacheHierarchy uniqueName="[bank-full].[duration]" caption="duration" attribute="1" defaultMemberUniqueName="[bank-full].[duration].[All]" allUniqueName="[bank-full].[duration].[All]" dimensionUniqueName="[bank-full]" displayFolder="" count="0" memberValueDatatype="20" unbalanced="0"/>
    <cacheHierarchy uniqueName="[bank-full].[campaign]" caption="campaign" attribute="1" defaultMemberUniqueName="[bank-full].[campaign].[All]" allUniqueName="[bank-full].[campaign].[All]" dimensionUniqueName="[bank-full]" displayFolder="" count="2" memberValueDatatype="20" unbalanced="0">
      <fieldsUsage count="2">
        <fieldUsage x="-1"/>
        <fieldUsage x="0"/>
      </fieldsUsage>
    </cacheHierarchy>
    <cacheHierarchy uniqueName="[bank-full].[pdays]" caption="pdays" attribute="1" defaultMemberUniqueName="[bank-full].[pdays].[All]" allUniqueName="[bank-full].[pdays].[All]" dimensionUniqueName="[bank-full]" displayFolder="" count="0" memberValueDatatype="20" unbalanced="0"/>
    <cacheHierarchy uniqueName="[bank-full].[previous]" caption="previous" attribute="1" defaultMemberUniqueName="[bank-full].[previous].[All]" allUniqueName="[bank-full].[previous].[All]" dimensionUniqueName="[bank-full]" displayFolder="" count="0" memberValueDatatype="20" unbalanced="0"/>
    <cacheHierarchy uniqueName="[bank-full].[poutcome]" caption="poutcome" attribute="1" defaultMemberUniqueName="[bank-full].[poutcome].[All]" allUniqueName="[bank-full].[poutcome].[All]" dimensionUniqueName="[bank-full]" displayFolder="" count="2" memberValueDatatype="130" unbalanced="0">
      <fieldsUsage count="2">
        <fieldUsage x="-1"/>
        <fieldUsage x="1"/>
      </fieldsUsage>
    </cacheHierarchy>
    <cacheHierarchy uniqueName="[bank-full].[y]" caption="y" attribute="1" defaultMemberUniqueName="[bank-full].[y].[All]" allUniqueName="[bank-full].[y].[All]" dimensionUniqueName="[bank-full]" displayFolder="" count="0" memberValueDatatype="130" unbalanced="0"/>
    <cacheHierarchy uniqueName="[bank-full].[Subscribed]" caption="Subscribed" attribute="1" defaultMemberUniqueName="[bank-full].[Subscribed].[All]" allUniqueName="[bank-full].[Subscribed].[All]" dimensionUniqueName="[bank-full]" displayFolder="" count="0" memberValueDatatype="20" unbalanced="0"/>
    <cacheHierarchy uniqueName="[bank-full].[Not Subscribed]" caption="Not Subscribed" attribute="1" defaultMemberUniqueName="[bank-full].[Not Subscribed].[All]" allUniqueName="[bank-full].[Not Subscribed].[All]" dimensionUniqueName="[bank-full]" displayFolder="" count="0" memberValueDatatype="20" unbalanced="0"/>
    <cacheHierarchy uniqueName="[bank-full].[Age Group]" caption="Age Group" attribute="1" defaultMemberUniqueName="[bank-full].[Age Group].[All]" allUniqueName="[bank-full].[Age Group].[All]" dimensionUniqueName="[bank-full]" displayFolder="" count="0" memberValueDatatype="130" unbalanced="0"/>
    <cacheHierarchy uniqueName="[bank-full].[Balance Tier]" caption="Balance Tier" attribute="1" defaultMemberUniqueName="[bank-full].[Balance Tier].[All]" allUniqueName="[bank-full].[Balance Tier].[All]" dimensionUniqueName="[bank-full]" displayFolder="" count="0" memberValueDatatype="130" unbalanced="0"/>
    <cacheHierarchy uniqueName="[Measures].[Total Contacts]" caption="Total Contacts" measure="1" displayFolder="" measureGroup="bank-full" count="0"/>
    <cacheHierarchy uniqueName="[Measures].[Total Subscriptions]" caption="Total Subscriptions" measure="1" displayFolder="" measureGroup="bank-full" count="0"/>
    <cacheHierarchy uniqueName="[Measures].[AVG Call Durations]" caption="AVG Call Durations" measure="1" displayFolder="" measureGroup="bank-full" count="0"/>
    <cacheHierarchy uniqueName="[Measures].[AVG Contacts/Client]" caption="AVG Contacts/Client" measure="1" displayFolder="" measureGroup="bank-full" count="0"/>
    <cacheHierarchy uniqueName="[Measures].[__XL_Count bank-full]" caption="__XL_Count bank-full" measure="1" displayFolder="" measureGroup="bank-full" count="0" hidden="1"/>
    <cacheHierarchy uniqueName="[Measures].[__No measures defined]" caption="__No measures defined" measure="1" displayFolder="" count="0" hidden="1"/>
    <cacheHierarchy uniqueName="[Measures].[Count of y]" caption="Count of y" measure="1" displayFolder="" measureGroup="bank-full" count="0" hidden="1">
      <extLst>
        <ext xmlns:x15="http://schemas.microsoft.com/office/spreadsheetml/2010/11/main" uri="{B97F6D7D-B522-45F9-BDA1-12C45D357490}">
          <x15:cacheHierarchy aggregatedColumn="16"/>
        </ext>
      </extLst>
    </cacheHierarchy>
    <cacheHierarchy uniqueName="[Measures].[Sum of Subscribed]" caption="Sum of Subscribed" measure="1" displayFolder="" measureGroup="bank-full" count="0" hidden="1">
      <extLst>
        <ext xmlns:x15="http://schemas.microsoft.com/office/spreadsheetml/2010/11/main" uri="{B97F6D7D-B522-45F9-BDA1-12C45D357490}">
          <x15:cacheHierarchy aggregatedColumn="17"/>
        </ext>
      </extLst>
    </cacheHierarchy>
    <cacheHierarchy uniqueName="[Measures].[Count of Subscribed]" caption="Count of Subscribed" measure="1" displayFolder="" measureGroup="bank-full" count="0" hidden="1">
      <extLst>
        <ext xmlns:x15="http://schemas.microsoft.com/office/spreadsheetml/2010/11/main" uri="{B97F6D7D-B522-45F9-BDA1-12C45D357490}">
          <x15:cacheHierarchy aggregatedColumn="17"/>
        </ext>
      </extLst>
    </cacheHierarchy>
    <cacheHierarchy uniqueName="[Measures].[Sum of Not Subscribed]" caption="Sum of Not Subscribed" measure="1" displayFolder="" measureGroup="bank-full" count="0" hidden="1">
      <extLst>
        <ext xmlns:x15="http://schemas.microsoft.com/office/spreadsheetml/2010/11/main" uri="{B97F6D7D-B522-45F9-BDA1-12C45D357490}">
          <x15:cacheHierarchy aggregatedColumn="18"/>
        </ext>
      </extLst>
    </cacheHierarchy>
    <cacheHierarchy uniqueName="[Measures].[Average of Subscribed]" caption="Average of Subscribed" measure="1" displayFolder="" measureGroup="bank-full" count="0" hidden="1">
      <extLst>
        <ext xmlns:x15="http://schemas.microsoft.com/office/spreadsheetml/2010/11/main" uri="{B97F6D7D-B522-45F9-BDA1-12C45D357490}">
          <x15:cacheHierarchy aggregatedColumn="17"/>
        </ext>
      </extLst>
    </cacheHierarchy>
    <cacheHierarchy uniqueName="[Measures].[Sum of previous]" caption="Sum of previous" measure="1" displayFolder="" measureGroup="bank-full"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contact]" caption="Count of contact" measure="1" displayFolder="" measureGroup="bank-full" count="0" hidden="1">
      <extLst>
        <ext xmlns:x15="http://schemas.microsoft.com/office/spreadsheetml/2010/11/main" uri="{B97F6D7D-B522-45F9-BDA1-12C45D357490}">
          <x15:cacheHierarchy aggregatedColumn="8"/>
        </ext>
      </extLst>
    </cacheHierarchy>
  </cacheHierarchies>
  <kpis count="0"/>
  <dimensions count="2">
    <dimension name="bank-full" uniqueName="[bank-full]" caption="bank-full"/>
    <dimension measure="1" name="Measures" uniqueName="[Measures]" caption="Measures"/>
  </dimensions>
  <measureGroups count="1">
    <measureGroup name="bank-full" caption="bank-full"/>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xioo Pongo" refreshedDate="46135.232384953706" createdVersion="5" refreshedVersion="8" minRefreshableVersion="3" recordCount="0" supportSubquery="1" supportAdvancedDrill="1" xr:uid="{B43A9ABF-ABFB-4AE6-AC27-8BAFC5FADF8F}">
  <cacheSource type="external" connectionId="2"/>
  <cacheFields count="7">
    <cacheField name="[bank-full].[campaign].[campaign]" caption="campaign" numFmtId="0" hierarchy="12" level="1">
      <sharedItems containsSemiMixedTypes="0" containsString="0" containsNumber="1" containsInteger="1" minValue="1" maxValue="6" count="6">
        <n v="1"/>
        <n v="2"/>
        <n v="3"/>
        <n v="4"/>
        <n v="5"/>
        <n v="6"/>
      </sharedItems>
      <extLst>
        <ext xmlns:x15="http://schemas.microsoft.com/office/spreadsheetml/2010/11/main" uri="{4F2E5C28-24EA-4eb8-9CBF-B6C8F9C3D259}">
          <x15:cachedUniqueNames>
            <x15:cachedUniqueName index="0" name="[bank-full].[campaign].&amp;[1]"/>
            <x15:cachedUniqueName index="1" name="[bank-full].[campaign].&amp;[2]"/>
            <x15:cachedUniqueName index="2" name="[bank-full].[campaign].&amp;[3]"/>
            <x15:cachedUniqueName index="3" name="[bank-full].[campaign].&amp;[4]"/>
            <x15:cachedUniqueName index="4" name="[bank-full].[campaign].&amp;[5]"/>
            <x15:cachedUniqueName index="5" name="[bank-full].[campaign].&amp;[6]"/>
          </x15:cachedUniqueNames>
        </ext>
      </extLst>
    </cacheField>
    <cacheField name="[bank-full].[Age Group].[Age Group]" caption="Age Group" numFmtId="0" hierarchy="19" level="1">
      <sharedItems count="6">
        <s v="18-27"/>
        <s v="28-37"/>
        <s v="38-47"/>
        <s v="48-57"/>
        <s v="58-67"/>
        <s v="68+"/>
      </sharedItems>
    </cacheField>
    <cacheField name="[Measures].[Sum of Subscribed]" caption="Sum of Subscribed" numFmtId="0" hierarchy="28" level="32767"/>
    <cacheField name="[bank-full].[loan].[loan]" caption="loan" numFmtId="0" hierarchy="7" level="1">
      <sharedItems containsSemiMixedTypes="0" containsNonDate="0" containsString="0"/>
    </cacheField>
    <cacheField name="[bank-full].[housing].[housing]" caption="housing" numFmtId="0" hierarchy="6" level="1">
      <sharedItems containsSemiMixedTypes="0" containsNonDate="0" containsString="0"/>
    </cacheField>
    <cacheField name="[bank-full].[marital].[marital]" caption="marital" numFmtId="0" hierarchy="2" level="1">
      <sharedItems containsSemiMixedTypes="0" containsNonDate="0" containsString="0"/>
    </cacheField>
    <cacheField name="[bank-full].[education].[education]" caption="education" numFmtId="0" hierarchy="3" level="1">
      <sharedItems containsSemiMixedTypes="0" containsNonDate="0" containsString="0"/>
    </cacheField>
  </cacheFields>
  <cacheHierarchies count="34">
    <cacheHierarchy uniqueName="[bank-full].[age]" caption="age" attribute="1" defaultMemberUniqueName="[bank-full].[age].[All]" allUniqueName="[bank-full].[age].[All]" dimensionUniqueName="[bank-full]" displayFolder="" count="0" memberValueDatatype="20" unbalanced="0"/>
    <cacheHierarchy uniqueName="[bank-full].[job]" caption="job" attribute="1" defaultMemberUniqueName="[bank-full].[job].[All]" allUniqueName="[bank-full].[job].[All]" dimensionUniqueName="[bank-full]" displayFolder="" count="0" memberValueDatatype="130" unbalanced="0"/>
    <cacheHierarchy uniqueName="[bank-full].[marital]" caption="marital" attribute="1" defaultMemberUniqueName="[bank-full].[marital].[All]" allUniqueName="[bank-full].[marital].[All]" dimensionUniqueName="[bank-full]" displayFolder="" count="2" memberValueDatatype="130" unbalanced="0">
      <fieldsUsage count="2">
        <fieldUsage x="-1"/>
        <fieldUsage x="5"/>
      </fieldsUsage>
    </cacheHierarchy>
    <cacheHierarchy uniqueName="[bank-full].[education]" caption="education" attribute="1" defaultMemberUniqueName="[bank-full].[education].[All]" allUniqueName="[bank-full].[education].[All]" dimensionUniqueName="[bank-full]" displayFolder="" count="2" memberValueDatatype="130" unbalanced="0">
      <fieldsUsage count="2">
        <fieldUsage x="-1"/>
        <fieldUsage x="6"/>
      </fieldsUsage>
    </cacheHierarchy>
    <cacheHierarchy uniqueName="[bank-full].[default]" caption="default" attribute="1" defaultMemberUniqueName="[bank-full].[default].[All]" allUniqueName="[bank-full].[default].[All]" dimensionUniqueName="[bank-full]" displayFolder="" count="0" memberValueDatatype="130" unbalanced="0"/>
    <cacheHierarchy uniqueName="[bank-full].[balance]" caption="balance" attribute="1" defaultMemberUniqueName="[bank-full].[balance].[All]" allUniqueName="[bank-full].[balance].[All]" dimensionUniqueName="[bank-full]" displayFolder="" count="0" memberValueDatatype="20" unbalanced="0"/>
    <cacheHierarchy uniqueName="[bank-full].[housing]" caption="housing" attribute="1" defaultMemberUniqueName="[bank-full].[housing].[All]" allUniqueName="[bank-full].[housing].[All]" dimensionUniqueName="[bank-full]" displayFolder="" count="2" memberValueDatatype="130" unbalanced="0">
      <fieldsUsage count="2">
        <fieldUsage x="-1"/>
        <fieldUsage x="4"/>
      </fieldsUsage>
    </cacheHierarchy>
    <cacheHierarchy uniqueName="[bank-full].[loan]" caption="loan" attribute="1" defaultMemberUniqueName="[bank-full].[loan].[All]" allUniqueName="[bank-full].[loan].[All]" dimensionUniqueName="[bank-full]" displayFolder="" count="2" memberValueDatatype="130" unbalanced="0">
      <fieldsUsage count="2">
        <fieldUsage x="-1"/>
        <fieldUsage x="3"/>
      </fieldsUsage>
    </cacheHierarchy>
    <cacheHierarchy uniqueName="[bank-full].[contact]" caption="contact" attribute="1" defaultMemberUniqueName="[bank-full].[contact].[All]" allUniqueName="[bank-full].[contact].[All]" dimensionUniqueName="[bank-full]" displayFolder="" count="0" memberValueDatatype="130" unbalanced="0"/>
    <cacheHierarchy uniqueName="[bank-full].[day]" caption="day" attribute="1" defaultMemberUniqueName="[bank-full].[day].[All]" allUniqueName="[bank-full].[day].[All]" dimensionUniqueName="[bank-full]" displayFolder="" count="0" memberValueDatatype="20" unbalanced="0"/>
    <cacheHierarchy uniqueName="[bank-full].[month]" caption="month" attribute="1" defaultMemberUniqueName="[bank-full].[month].[All]" allUniqueName="[bank-full].[month].[All]" dimensionUniqueName="[bank-full]" displayFolder="" count="0" memberValueDatatype="130" unbalanced="0"/>
    <cacheHierarchy uniqueName="[bank-full].[duration]" caption="duration" attribute="1" defaultMemberUniqueName="[bank-full].[duration].[All]" allUniqueName="[bank-full].[duration].[All]" dimensionUniqueName="[bank-full]" displayFolder="" count="0" memberValueDatatype="20" unbalanced="0"/>
    <cacheHierarchy uniqueName="[bank-full].[campaign]" caption="campaign" attribute="1" defaultMemberUniqueName="[bank-full].[campaign].[All]" allUniqueName="[bank-full].[campaign].[All]" dimensionUniqueName="[bank-full]" displayFolder="" count="2" memberValueDatatype="20" unbalanced="0">
      <fieldsUsage count="2">
        <fieldUsage x="-1"/>
        <fieldUsage x="0"/>
      </fieldsUsage>
    </cacheHierarchy>
    <cacheHierarchy uniqueName="[bank-full].[pdays]" caption="pdays" attribute="1" defaultMemberUniqueName="[bank-full].[pdays].[All]" allUniqueName="[bank-full].[pdays].[All]" dimensionUniqueName="[bank-full]" displayFolder="" count="0" memberValueDatatype="20" unbalanced="0"/>
    <cacheHierarchy uniqueName="[bank-full].[previous]" caption="previous" attribute="1" defaultMemberUniqueName="[bank-full].[previous].[All]" allUniqueName="[bank-full].[previous].[All]" dimensionUniqueName="[bank-full]" displayFolder="" count="0" memberValueDatatype="20" unbalanced="0"/>
    <cacheHierarchy uniqueName="[bank-full].[poutcome]" caption="poutcome" attribute="1" defaultMemberUniqueName="[bank-full].[poutcome].[All]" allUniqueName="[bank-full].[poutcome].[All]" dimensionUniqueName="[bank-full]" displayFolder="" count="0" memberValueDatatype="130" unbalanced="0"/>
    <cacheHierarchy uniqueName="[bank-full].[y]" caption="y" attribute="1" defaultMemberUniqueName="[bank-full].[y].[All]" allUniqueName="[bank-full].[y].[All]" dimensionUniqueName="[bank-full]" displayFolder="" count="0" memberValueDatatype="130" unbalanced="0"/>
    <cacheHierarchy uniqueName="[bank-full].[Subscribed]" caption="Subscribed" attribute="1" defaultMemberUniqueName="[bank-full].[Subscribed].[All]" allUniqueName="[bank-full].[Subscribed].[All]" dimensionUniqueName="[bank-full]" displayFolder="" count="0" memberValueDatatype="20" unbalanced="0"/>
    <cacheHierarchy uniqueName="[bank-full].[Not Subscribed]" caption="Not Subscribed" attribute="1" defaultMemberUniqueName="[bank-full].[Not Subscribed].[All]" allUniqueName="[bank-full].[Not Subscribed].[All]" dimensionUniqueName="[bank-full]" displayFolder="" count="0" memberValueDatatype="20" unbalanced="0"/>
    <cacheHierarchy uniqueName="[bank-full].[Age Group]" caption="Age Group" attribute="1" defaultMemberUniqueName="[bank-full].[Age Group].[All]" allUniqueName="[bank-full].[Age Group].[All]" dimensionUniqueName="[bank-full]" displayFolder="" count="2" memberValueDatatype="130" unbalanced="0">
      <fieldsUsage count="2">
        <fieldUsage x="-1"/>
        <fieldUsage x="1"/>
      </fieldsUsage>
    </cacheHierarchy>
    <cacheHierarchy uniqueName="[bank-full].[Balance Tier]" caption="Balance Tier" attribute="1" defaultMemberUniqueName="[bank-full].[Balance Tier].[All]" allUniqueName="[bank-full].[Balance Tier].[All]" dimensionUniqueName="[bank-full]" displayFolder="" count="0" memberValueDatatype="130" unbalanced="0"/>
    <cacheHierarchy uniqueName="[Measures].[Total Contacts]" caption="Total Contacts" measure="1" displayFolder="" measureGroup="bank-full" count="0"/>
    <cacheHierarchy uniqueName="[Measures].[Total Subscriptions]" caption="Total Subscriptions" measure="1" displayFolder="" measureGroup="bank-full" count="0"/>
    <cacheHierarchy uniqueName="[Measures].[AVG Call Durations]" caption="AVG Call Durations" measure="1" displayFolder="" measureGroup="bank-full" count="0"/>
    <cacheHierarchy uniqueName="[Measures].[AVG Contacts/Client]" caption="AVG Contacts/Client" measure="1" displayFolder="" measureGroup="bank-full" count="0"/>
    <cacheHierarchy uniqueName="[Measures].[__XL_Count bank-full]" caption="__XL_Count bank-full" measure="1" displayFolder="" measureGroup="bank-full" count="0" hidden="1"/>
    <cacheHierarchy uniqueName="[Measures].[__No measures defined]" caption="__No measures defined" measure="1" displayFolder="" count="0" hidden="1"/>
    <cacheHierarchy uniqueName="[Measures].[Count of y]" caption="Count of y" measure="1" displayFolder="" measureGroup="bank-full" count="0" hidden="1">
      <extLst>
        <ext xmlns:x15="http://schemas.microsoft.com/office/spreadsheetml/2010/11/main" uri="{B97F6D7D-B522-45F9-BDA1-12C45D357490}">
          <x15:cacheHierarchy aggregatedColumn="16"/>
        </ext>
      </extLst>
    </cacheHierarchy>
    <cacheHierarchy uniqueName="[Measures].[Sum of Subscribed]" caption="Sum of Subscribed" measure="1" displayFolder="" measureGroup="bank-full"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Subscribed]" caption="Count of Subscribed" measure="1" displayFolder="" measureGroup="bank-full" count="0" hidden="1">
      <extLst>
        <ext xmlns:x15="http://schemas.microsoft.com/office/spreadsheetml/2010/11/main" uri="{B97F6D7D-B522-45F9-BDA1-12C45D357490}">
          <x15:cacheHierarchy aggregatedColumn="17"/>
        </ext>
      </extLst>
    </cacheHierarchy>
    <cacheHierarchy uniqueName="[Measures].[Sum of Not Subscribed]" caption="Sum of Not Subscribed" measure="1" displayFolder="" measureGroup="bank-full" count="0" hidden="1">
      <extLst>
        <ext xmlns:x15="http://schemas.microsoft.com/office/spreadsheetml/2010/11/main" uri="{B97F6D7D-B522-45F9-BDA1-12C45D357490}">
          <x15:cacheHierarchy aggregatedColumn="18"/>
        </ext>
      </extLst>
    </cacheHierarchy>
    <cacheHierarchy uniqueName="[Measures].[Average of Subscribed]" caption="Average of Subscribed" measure="1" displayFolder="" measureGroup="bank-full" count="0" hidden="1">
      <extLst>
        <ext xmlns:x15="http://schemas.microsoft.com/office/spreadsheetml/2010/11/main" uri="{B97F6D7D-B522-45F9-BDA1-12C45D357490}">
          <x15:cacheHierarchy aggregatedColumn="17"/>
        </ext>
      </extLst>
    </cacheHierarchy>
    <cacheHierarchy uniqueName="[Measures].[Sum of previous]" caption="Sum of previous" measure="1" displayFolder="" measureGroup="bank-full" count="0" hidden="1">
      <extLst>
        <ext xmlns:x15="http://schemas.microsoft.com/office/spreadsheetml/2010/11/main" uri="{B97F6D7D-B522-45F9-BDA1-12C45D357490}">
          <x15:cacheHierarchy aggregatedColumn="14"/>
        </ext>
      </extLst>
    </cacheHierarchy>
    <cacheHierarchy uniqueName="[Measures].[Count of contact]" caption="Count of contact" measure="1" displayFolder="" measureGroup="bank-full" count="0" hidden="1">
      <extLst>
        <ext xmlns:x15="http://schemas.microsoft.com/office/spreadsheetml/2010/11/main" uri="{B97F6D7D-B522-45F9-BDA1-12C45D357490}">
          <x15:cacheHierarchy aggregatedColumn="8"/>
        </ext>
      </extLst>
    </cacheHierarchy>
  </cacheHierarchies>
  <kpis count="0"/>
  <dimensions count="2">
    <dimension name="bank-full" uniqueName="[bank-full]" caption="bank-full"/>
    <dimension measure="1" name="Measures" uniqueName="[Measures]" caption="Measures"/>
  </dimensions>
  <measureGroups count="1">
    <measureGroup name="bank-full" caption="bank-full"/>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xioo Pongo" refreshedDate="46135.232386805554" createdVersion="5" refreshedVersion="8" minRefreshableVersion="3" recordCount="0" supportSubquery="1" supportAdvancedDrill="1" xr:uid="{6FF96571-CBCE-4D25-8922-C52FF5B4ACD0}">
  <cacheSource type="external" connectionId="2"/>
  <cacheFields count="8">
    <cacheField name="[bank-full].[campaign].[campaign]" caption="campaign" numFmtId="0" hierarchy="12" level="1">
      <sharedItems containsSemiMixedTypes="0" containsString="0" containsNumber="1" containsInteger="1" minValue="1" maxValue="6" count="6">
        <n v="1"/>
        <n v="2"/>
        <n v="3"/>
        <n v="4"/>
        <n v="5"/>
        <n v="6"/>
      </sharedItems>
      <extLst>
        <ext xmlns:x15="http://schemas.microsoft.com/office/spreadsheetml/2010/11/main" uri="{4F2E5C28-24EA-4eb8-9CBF-B6C8F9C3D259}">
          <x15:cachedUniqueNames>
            <x15:cachedUniqueName index="0" name="[bank-full].[campaign].&amp;[1]"/>
            <x15:cachedUniqueName index="1" name="[bank-full].[campaign].&amp;[2]"/>
            <x15:cachedUniqueName index="2" name="[bank-full].[campaign].&amp;[3]"/>
            <x15:cachedUniqueName index="3" name="[bank-full].[campaign].&amp;[4]"/>
            <x15:cachedUniqueName index="4" name="[bank-full].[campaign].&amp;[5]"/>
            <x15:cachedUniqueName index="5" name="[bank-full].[campaign].&amp;[6]"/>
          </x15:cachedUniqueNames>
        </ext>
      </extLst>
    </cacheField>
    <cacheField name="[Measures].[Sum of Subscribed]" caption="Sum of Subscribed" numFmtId="0" hierarchy="28" level="32767"/>
    <cacheField name="[bank-full].[Balance Tier].[Balance Tier]" caption="Balance Tier" numFmtId="0" hierarchy="20" level="1">
      <sharedItems count="6">
        <s v="&lt;0"/>
        <s v="0-500"/>
        <s v="10K+"/>
        <s v="2K-5K"/>
        <s v="500-2K"/>
        <s v="5K-10K"/>
      </sharedItems>
    </cacheField>
    <cacheField name="[Measures].[Sum of Not Subscribed]" caption="Sum of Not Subscribed" numFmtId="0" hierarchy="30" level="32767"/>
    <cacheField name="[bank-full].[loan].[loan]" caption="loan" numFmtId="0" hierarchy="7" level="1">
      <sharedItems containsSemiMixedTypes="0" containsNonDate="0" containsString="0"/>
    </cacheField>
    <cacheField name="[bank-full].[housing].[housing]" caption="housing" numFmtId="0" hierarchy="6" level="1">
      <sharedItems containsSemiMixedTypes="0" containsNonDate="0" containsString="0"/>
    </cacheField>
    <cacheField name="[bank-full].[marital].[marital]" caption="marital" numFmtId="0" hierarchy="2" level="1">
      <sharedItems containsSemiMixedTypes="0" containsNonDate="0" containsString="0"/>
    </cacheField>
    <cacheField name="[bank-full].[education].[education]" caption="education" numFmtId="0" hierarchy="3" level="1">
      <sharedItems containsSemiMixedTypes="0" containsNonDate="0" containsString="0"/>
    </cacheField>
  </cacheFields>
  <cacheHierarchies count="34">
    <cacheHierarchy uniqueName="[bank-full].[age]" caption="age" attribute="1" defaultMemberUniqueName="[bank-full].[age].[All]" allUniqueName="[bank-full].[age].[All]" dimensionUniqueName="[bank-full]" displayFolder="" count="0" memberValueDatatype="20" unbalanced="0"/>
    <cacheHierarchy uniqueName="[bank-full].[job]" caption="job" attribute="1" defaultMemberUniqueName="[bank-full].[job].[All]" allUniqueName="[bank-full].[job].[All]" dimensionUniqueName="[bank-full]" displayFolder="" count="0" memberValueDatatype="130" unbalanced="0"/>
    <cacheHierarchy uniqueName="[bank-full].[marital]" caption="marital" attribute="1" defaultMemberUniqueName="[bank-full].[marital].[All]" allUniqueName="[bank-full].[marital].[All]" dimensionUniqueName="[bank-full]" displayFolder="" count="2" memberValueDatatype="130" unbalanced="0">
      <fieldsUsage count="2">
        <fieldUsage x="-1"/>
        <fieldUsage x="6"/>
      </fieldsUsage>
    </cacheHierarchy>
    <cacheHierarchy uniqueName="[bank-full].[education]" caption="education" attribute="1" defaultMemberUniqueName="[bank-full].[education].[All]" allUniqueName="[bank-full].[education].[All]" dimensionUniqueName="[bank-full]" displayFolder="" count="2" memberValueDatatype="130" unbalanced="0">
      <fieldsUsage count="2">
        <fieldUsage x="-1"/>
        <fieldUsage x="7"/>
      </fieldsUsage>
    </cacheHierarchy>
    <cacheHierarchy uniqueName="[bank-full].[default]" caption="default" attribute="1" defaultMemberUniqueName="[bank-full].[default].[All]" allUniqueName="[bank-full].[default].[All]" dimensionUniqueName="[bank-full]" displayFolder="" count="0" memberValueDatatype="130" unbalanced="0"/>
    <cacheHierarchy uniqueName="[bank-full].[balance]" caption="balance" attribute="1" defaultMemberUniqueName="[bank-full].[balance].[All]" allUniqueName="[bank-full].[balance].[All]" dimensionUniqueName="[bank-full]" displayFolder="" count="0" memberValueDatatype="20" unbalanced="0"/>
    <cacheHierarchy uniqueName="[bank-full].[housing]" caption="housing" attribute="1" defaultMemberUniqueName="[bank-full].[housing].[All]" allUniqueName="[bank-full].[housing].[All]" dimensionUniqueName="[bank-full]" displayFolder="" count="2" memberValueDatatype="130" unbalanced="0">
      <fieldsUsage count="2">
        <fieldUsage x="-1"/>
        <fieldUsage x="5"/>
      </fieldsUsage>
    </cacheHierarchy>
    <cacheHierarchy uniqueName="[bank-full].[loan]" caption="loan" attribute="1" defaultMemberUniqueName="[bank-full].[loan].[All]" allUniqueName="[bank-full].[loan].[All]" dimensionUniqueName="[bank-full]" displayFolder="" count="2" memberValueDatatype="130" unbalanced="0">
      <fieldsUsage count="2">
        <fieldUsage x="-1"/>
        <fieldUsage x="4"/>
      </fieldsUsage>
    </cacheHierarchy>
    <cacheHierarchy uniqueName="[bank-full].[contact]" caption="contact" attribute="1" defaultMemberUniqueName="[bank-full].[contact].[All]" allUniqueName="[bank-full].[contact].[All]" dimensionUniqueName="[bank-full]" displayFolder="" count="0" memberValueDatatype="130" unbalanced="0"/>
    <cacheHierarchy uniqueName="[bank-full].[day]" caption="day" attribute="1" defaultMemberUniqueName="[bank-full].[day].[All]" allUniqueName="[bank-full].[day].[All]" dimensionUniqueName="[bank-full]" displayFolder="" count="0" memberValueDatatype="20" unbalanced="0"/>
    <cacheHierarchy uniqueName="[bank-full].[month]" caption="month" attribute="1" defaultMemberUniqueName="[bank-full].[month].[All]" allUniqueName="[bank-full].[month].[All]" dimensionUniqueName="[bank-full]" displayFolder="" count="0" memberValueDatatype="130" unbalanced="0"/>
    <cacheHierarchy uniqueName="[bank-full].[duration]" caption="duration" attribute="1" defaultMemberUniqueName="[bank-full].[duration].[All]" allUniqueName="[bank-full].[duration].[All]" dimensionUniqueName="[bank-full]" displayFolder="" count="0" memberValueDatatype="20" unbalanced="0"/>
    <cacheHierarchy uniqueName="[bank-full].[campaign]" caption="campaign" attribute="1" defaultMemberUniqueName="[bank-full].[campaign].[All]" allUniqueName="[bank-full].[campaign].[All]" dimensionUniqueName="[bank-full]" displayFolder="" count="2" memberValueDatatype="20" unbalanced="0">
      <fieldsUsage count="2">
        <fieldUsage x="-1"/>
        <fieldUsage x="0"/>
      </fieldsUsage>
    </cacheHierarchy>
    <cacheHierarchy uniqueName="[bank-full].[pdays]" caption="pdays" attribute="1" defaultMemberUniqueName="[bank-full].[pdays].[All]" allUniqueName="[bank-full].[pdays].[All]" dimensionUniqueName="[bank-full]" displayFolder="" count="0" memberValueDatatype="20" unbalanced="0"/>
    <cacheHierarchy uniqueName="[bank-full].[previous]" caption="previous" attribute="1" defaultMemberUniqueName="[bank-full].[previous].[All]" allUniqueName="[bank-full].[previous].[All]" dimensionUniqueName="[bank-full]" displayFolder="" count="0" memberValueDatatype="20" unbalanced="0"/>
    <cacheHierarchy uniqueName="[bank-full].[poutcome]" caption="poutcome" attribute="1" defaultMemberUniqueName="[bank-full].[poutcome].[All]" allUniqueName="[bank-full].[poutcome].[All]" dimensionUniqueName="[bank-full]" displayFolder="" count="0" memberValueDatatype="130" unbalanced="0"/>
    <cacheHierarchy uniqueName="[bank-full].[y]" caption="y" attribute="1" defaultMemberUniqueName="[bank-full].[y].[All]" allUniqueName="[bank-full].[y].[All]" dimensionUniqueName="[bank-full]" displayFolder="" count="0" memberValueDatatype="130" unbalanced="0"/>
    <cacheHierarchy uniqueName="[bank-full].[Subscribed]" caption="Subscribed" attribute="1" defaultMemberUniqueName="[bank-full].[Subscribed].[All]" allUniqueName="[bank-full].[Subscribed].[All]" dimensionUniqueName="[bank-full]" displayFolder="" count="0" memberValueDatatype="20" unbalanced="0"/>
    <cacheHierarchy uniqueName="[bank-full].[Not Subscribed]" caption="Not Subscribed" attribute="1" defaultMemberUniqueName="[bank-full].[Not Subscribed].[All]" allUniqueName="[bank-full].[Not Subscribed].[All]" dimensionUniqueName="[bank-full]" displayFolder="" count="0" memberValueDatatype="20" unbalanced="0"/>
    <cacheHierarchy uniqueName="[bank-full].[Age Group]" caption="Age Group" attribute="1" defaultMemberUniqueName="[bank-full].[Age Group].[All]" allUniqueName="[bank-full].[Age Group].[All]" dimensionUniqueName="[bank-full]" displayFolder="" count="0" memberValueDatatype="130" unbalanced="0"/>
    <cacheHierarchy uniqueName="[bank-full].[Balance Tier]" caption="Balance Tier" attribute="1" defaultMemberUniqueName="[bank-full].[Balance Tier].[All]" allUniqueName="[bank-full].[Balance Tier].[All]" dimensionUniqueName="[bank-full]" displayFolder="" count="2" memberValueDatatype="130" unbalanced="0">
      <fieldsUsage count="2">
        <fieldUsage x="-1"/>
        <fieldUsage x="2"/>
      </fieldsUsage>
    </cacheHierarchy>
    <cacheHierarchy uniqueName="[Measures].[Total Contacts]" caption="Total Contacts" measure="1" displayFolder="" measureGroup="bank-full" count="0"/>
    <cacheHierarchy uniqueName="[Measures].[Total Subscriptions]" caption="Total Subscriptions" measure="1" displayFolder="" measureGroup="bank-full" count="0"/>
    <cacheHierarchy uniqueName="[Measures].[AVG Call Durations]" caption="AVG Call Durations" measure="1" displayFolder="" measureGroup="bank-full" count="0"/>
    <cacheHierarchy uniqueName="[Measures].[AVG Contacts/Client]" caption="AVG Contacts/Client" measure="1" displayFolder="" measureGroup="bank-full" count="0"/>
    <cacheHierarchy uniqueName="[Measures].[__XL_Count bank-full]" caption="__XL_Count bank-full" measure="1" displayFolder="" measureGroup="bank-full" count="0" hidden="1"/>
    <cacheHierarchy uniqueName="[Measures].[__No measures defined]" caption="__No measures defined" measure="1" displayFolder="" count="0" hidden="1"/>
    <cacheHierarchy uniqueName="[Measures].[Count of y]" caption="Count of y" measure="1" displayFolder="" measureGroup="bank-full" count="0" hidden="1">
      <extLst>
        <ext xmlns:x15="http://schemas.microsoft.com/office/spreadsheetml/2010/11/main" uri="{B97F6D7D-B522-45F9-BDA1-12C45D357490}">
          <x15:cacheHierarchy aggregatedColumn="16"/>
        </ext>
      </extLst>
    </cacheHierarchy>
    <cacheHierarchy uniqueName="[Measures].[Sum of Subscribed]" caption="Sum of Subscribed" measure="1" displayFolder="" measureGroup="bank-full"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Subscribed]" caption="Count of Subscribed" measure="1" displayFolder="" measureGroup="bank-full" count="0" hidden="1">
      <extLst>
        <ext xmlns:x15="http://schemas.microsoft.com/office/spreadsheetml/2010/11/main" uri="{B97F6D7D-B522-45F9-BDA1-12C45D357490}">
          <x15:cacheHierarchy aggregatedColumn="17"/>
        </ext>
      </extLst>
    </cacheHierarchy>
    <cacheHierarchy uniqueName="[Measures].[Sum of Not Subscribed]" caption="Sum of Not Subscribed" measure="1" displayFolder="" measureGroup="bank-full" count="0" oneField="1" hidden="1">
      <fieldsUsage count="1">
        <fieldUsage x="3"/>
      </fieldsUsage>
      <extLst>
        <ext xmlns:x15="http://schemas.microsoft.com/office/spreadsheetml/2010/11/main" uri="{B97F6D7D-B522-45F9-BDA1-12C45D357490}">
          <x15:cacheHierarchy aggregatedColumn="18"/>
        </ext>
      </extLst>
    </cacheHierarchy>
    <cacheHierarchy uniqueName="[Measures].[Average of Subscribed]" caption="Average of Subscribed" measure="1" displayFolder="" measureGroup="bank-full" count="0" hidden="1">
      <extLst>
        <ext xmlns:x15="http://schemas.microsoft.com/office/spreadsheetml/2010/11/main" uri="{B97F6D7D-B522-45F9-BDA1-12C45D357490}">
          <x15:cacheHierarchy aggregatedColumn="17"/>
        </ext>
      </extLst>
    </cacheHierarchy>
    <cacheHierarchy uniqueName="[Measures].[Sum of previous]" caption="Sum of previous" measure="1" displayFolder="" measureGroup="bank-full" count="0" hidden="1">
      <extLst>
        <ext xmlns:x15="http://schemas.microsoft.com/office/spreadsheetml/2010/11/main" uri="{B97F6D7D-B522-45F9-BDA1-12C45D357490}">
          <x15:cacheHierarchy aggregatedColumn="14"/>
        </ext>
      </extLst>
    </cacheHierarchy>
    <cacheHierarchy uniqueName="[Measures].[Count of contact]" caption="Count of contact" measure="1" displayFolder="" measureGroup="bank-full" count="0" hidden="1">
      <extLst>
        <ext xmlns:x15="http://schemas.microsoft.com/office/spreadsheetml/2010/11/main" uri="{B97F6D7D-B522-45F9-BDA1-12C45D357490}">
          <x15:cacheHierarchy aggregatedColumn="8"/>
        </ext>
      </extLst>
    </cacheHierarchy>
  </cacheHierarchies>
  <kpis count="0"/>
  <dimensions count="2">
    <dimension name="bank-full" uniqueName="[bank-full]" caption="bank-full"/>
    <dimension measure="1" name="Measures" uniqueName="[Measures]" caption="Measures"/>
  </dimensions>
  <measureGroups count="1">
    <measureGroup name="bank-full" caption="bank-full"/>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xioo Pongo" refreshedDate="46135.232388310185" createdVersion="5" refreshedVersion="8" minRefreshableVersion="3" recordCount="0" supportSubquery="1" supportAdvancedDrill="1" xr:uid="{0A667D96-A411-48A6-866A-6D0EBBF08057}">
  <cacheSource type="external" connectionId="2"/>
  <cacheFields count="5">
    <cacheField name="[Measures].[Total Subscriptions]" caption="Total Subscriptions" numFmtId="0" hierarchy="22" level="32767"/>
    <cacheField name="[bank-full].[loan].[loan]" caption="loan" numFmtId="0" hierarchy="7" level="1">
      <sharedItems containsSemiMixedTypes="0" containsNonDate="0" containsString="0"/>
    </cacheField>
    <cacheField name="[bank-full].[housing].[housing]" caption="housing" numFmtId="0" hierarchy="6" level="1">
      <sharedItems containsSemiMixedTypes="0" containsNonDate="0" containsString="0"/>
    </cacheField>
    <cacheField name="[bank-full].[marital].[marital]" caption="marital" numFmtId="0" hierarchy="2" level="1">
      <sharedItems containsSemiMixedTypes="0" containsNonDate="0" containsString="0"/>
    </cacheField>
    <cacheField name="[bank-full].[education].[education]" caption="education" numFmtId="0" hierarchy="3" level="1">
      <sharedItems containsSemiMixedTypes="0" containsNonDate="0" containsString="0"/>
    </cacheField>
  </cacheFields>
  <cacheHierarchies count="34">
    <cacheHierarchy uniqueName="[bank-full].[age]" caption="age" attribute="1" defaultMemberUniqueName="[bank-full].[age].[All]" allUniqueName="[bank-full].[age].[All]" dimensionUniqueName="[bank-full]" displayFolder="" count="0" memberValueDatatype="20" unbalanced="0"/>
    <cacheHierarchy uniqueName="[bank-full].[job]" caption="job" attribute="1" defaultMemberUniqueName="[bank-full].[job].[All]" allUniqueName="[bank-full].[job].[All]" dimensionUniqueName="[bank-full]" displayFolder="" count="0" memberValueDatatype="130" unbalanced="0"/>
    <cacheHierarchy uniqueName="[bank-full].[marital]" caption="marital" attribute="1" defaultMemberUniqueName="[bank-full].[marital].[All]" allUniqueName="[bank-full].[marital].[All]" dimensionUniqueName="[bank-full]" displayFolder="" count="2" memberValueDatatype="130" unbalanced="0">
      <fieldsUsage count="2">
        <fieldUsage x="-1"/>
        <fieldUsage x="3"/>
      </fieldsUsage>
    </cacheHierarchy>
    <cacheHierarchy uniqueName="[bank-full].[education]" caption="education" attribute="1" defaultMemberUniqueName="[bank-full].[education].[All]" allUniqueName="[bank-full].[education].[All]" dimensionUniqueName="[bank-full]" displayFolder="" count="2" memberValueDatatype="130" unbalanced="0">
      <fieldsUsage count="2">
        <fieldUsage x="-1"/>
        <fieldUsage x="4"/>
      </fieldsUsage>
    </cacheHierarchy>
    <cacheHierarchy uniqueName="[bank-full].[default]" caption="default" attribute="1" defaultMemberUniqueName="[bank-full].[default].[All]" allUniqueName="[bank-full].[default].[All]" dimensionUniqueName="[bank-full]" displayFolder="" count="0" memberValueDatatype="130" unbalanced="0"/>
    <cacheHierarchy uniqueName="[bank-full].[balance]" caption="balance" attribute="1" defaultMemberUniqueName="[bank-full].[balance].[All]" allUniqueName="[bank-full].[balance].[All]" dimensionUniqueName="[bank-full]" displayFolder="" count="0" memberValueDatatype="20" unbalanced="0"/>
    <cacheHierarchy uniqueName="[bank-full].[housing]" caption="housing" attribute="1" defaultMemberUniqueName="[bank-full].[housing].[All]" allUniqueName="[bank-full].[housing].[All]" dimensionUniqueName="[bank-full]" displayFolder="" count="2" memberValueDatatype="130" unbalanced="0">
      <fieldsUsage count="2">
        <fieldUsage x="-1"/>
        <fieldUsage x="2"/>
      </fieldsUsage>
    </cacheHierarchy>
    <cacheHierarchy uniqueName="[bank-full].[loan]" caption="loan" attribute="1" defaultMemberUniqueName="[bank-full].[loan].[All]" allUniqueName="[bank-full].[loan].[All]" dimensionUniqueName="[bank-full]" displayFolder="" count="2" memberValueDatatype="130" unbalanced="0">
      <fieldsUsage count="2">
        <fieldUsage x="-1"/>
        <fieldUsage x="1"/>
      </fieldsUsage>
    </cacheHierarchy>
    <cacheHierarchy uniqueName="[bank-full].[contact]" caption="contact" attribute="1" defaultMemberUniqueName="[bank-full].[contact].[All]" allUniqueName="[bank-full].[contact].[All]" dimensionUniqueName="[bank-full]" displayFolder="" count="0" memberValueDatatype="130" unbalanced="0"/>
    <cacheHierarchy uniqueName="[bank-full].[day]" caption="day" attribute="1" defaultMemberUniqueName="[bank-full].[day].[All]" allUniqueName="[bank-full].[day].[All]" dimensionUniqueName="[bank-full]" displayFolder="" count="0" memberValueDatatype="20" unbalanced="0"/>
    <cacheHierarchy uniqueName="[bank-full].[month]" caption="month" attribute="1" defaultMemberUniqueName="[bank-full].[month].[All]" allUniqueName="[bank-full].[month].[All]" dimensionUniqueName="[bank-full]" displayFolder="" count="0" memberValueDatatype="130" unbalanced="0"/>
    <cacheHierarchy uniqueName="[bank-full].[duration]" caption="duration" attribute="1" defaultMemberUniqueName="[bank-full].[duration].[All]" allUniqueName="[bank-full].[duration].[All]" dimensionUniqueName="[bank-full]" displayFolder="" count="0" memberValueDatatype="20" unbalanced="0"/>
    <cacheHierarchy uniqueName="[bank-full].[campaign]" caption="campaign" attribute="1" defaultMemberUniqueName="[bank-full].[campaign].[All]" allUniqueName="[bank-full].[campaign].[All]" dimensionUniqueName="[bank-full]" displayFolder="" count="0" memberValueDatatype="20" unbalanced="0"/>
    <cacheHierarchy uniqueName="[bank-full].[pdays]" caption="pdays" attribute="1" defaultMemberUniqueName="[bank-full].[pdays].[All]" allUniqueName="[bank-full].[pdays].[All]" dimensionUniqueName="[bank-full]" displayFolder="" count="0" memberValueDatatype="20" unbalanced="0"/>
    <cacheHierarchy uniqueName="[bank-full].[previous]" caption="previous" attribute="1" defaultMemberUniqueName="[bank-full].[previous].[All]" allUniqueName="[bank-full].[previous].[All]" dimensionUniqueName="[bank-full]" displayFolder="" count="0" memberValueDatatype="20" unbalanced="0"/>
    <cacheHierarchy uniqueName="[bank-full].[poutcome]" caption="poutcome" attribute="1" defaultMemberUniqueName="[bank-full].[poutcome].[All]" allUniqueName="[bank-full].[poutcome].[All]" dimensionUniqueName="[bank-full]" displayFolder="" count="0" memberValueDatatype="130" unbalanced="0"/>
    <cacheHierarchy uniqueName="[bank-full].[y]" caption="y" attribute="1" defaultMemberUniqueName="[bank-full].[y].[All]" allUniqueName="[bank-full].[y].[All]" dimensionUniqueName="[bank-full]" displayFolder="" count="0" memberValueDatatype="130" unbalanced="0"/>
    <cacheHierarchy uniqueName="[bank-full].[Subscribed]" caption="Subscribed" attribute="1" defaultMemberUniqueName="[bank-full].[Subscribed].[All]" allUniqueName="[bank-full].[Subscribed].[All]" dimensionUniqueName="[bank-full]" displayFolder="" count="0" memberValueDatatype="20" unbalanced="0"/>
    <cacheHierarchy uniqueName="[bank-full].[Not Subscribed]" caption="Not Subscribed" attribute="1" defaultMemberUniqueName="[bank-full].[Not Subscribed].[All]" allUniqueName="[bank-full].[Not Subscribed].[All]" dimensionUniqueName="[bank-full]" displayFolder="" count="0" memberValueDatatype="20" unbalanced="0"/>
    <cacheHierarchy uniqueName="[bank-full].[Age Group]" caption="Age Group" attribute="1" defaultMemberUniqueName="[bank-full].[Age Group].[All]" allUniqueName="[bank-full].[Age Group].[All]" dimensionUniqueName="[bank-full]" displayFolder="" count="0" memberValueDatatype="130" unbalanced="0"/>
    <cacheHierarchy uniqueName="[bank-full].[Balance Tier]" caption="Balance Tier" attribute="1" defaultMemberUniqueName="[bank-full].[Balance Tier].[All]" allUniqueName="[bank-full].[Balance Tier].[All]" dimensionUniqueName="[bank-full]" displayFolder="" count="0" memberValueDatatype="130" unbalanced="0"/>
    <cacheHierarchy uniqueName="[Measures].[Total Contacts]" caption="Total Contacts" measure="1" displayFolder="" measureGroup="bank-full" count="0"/>
    <cacheHierarchy uniqueName="[Measures].[Total Subscriptions]" caption="Total Subscriptions" measure="1" displayFolder="" measureGroup="bank-full" count="0" oneField="1">
      <fieldsUsage count="1">
        <fieldUsage x="0"/>
      </fieldsUsage>
    </cacheHierarchy>
    <cacheHierarchy uniqueName="[Measures].[AVG Call Durations]" caption="AVG Call Durations" measure="1" displayFolder="" measureGroup="bank-full" count="0"/>
    <cacheHierarchy uniqueName="[Measures].[AVG Contacts/Client]" caption="AVG Contacts/Client" measure="1" displayFolder="" measureGroup="bank-full" count="0"/>
    <cacheHierarchy uniqueName="[Measures].[__XL_Count bank-full]" caption="__XL_Count bank-full" measure="1" displayFolder="" measureGroup="bank-full" count="0" hidden="1"/>
    <cacheHierarchy uniqueName="[Measures].[__No measures defined]" caption="__No measures defined" measure="1" displayFolder="" count="0" hidden="1"/>
    <cacheHierarchy uniqueName="[Measures].[Count of y]" caption="Count of y" measure="1" displayFolder="" measureGroup="bank-full" count="0" hidden="1">
      <extLst>
        <ext xmlns:x15="http://schemas.microsoft.com/office/spreadsheetml/2010/11/main" uri="{B97F6D7D-B522-45F9-BDA1-12C45D357490}">
          <x15:cacheHierarchy aggregatedColumn="16"/>
        </ext>
      </extLst>
    </cacheHierarchy>
    <cacheHierarchy uniqueName="[Measures].[Sum of Subscribed]" caption="Sum of Subscribed" measure="1" displayFolder="" measureGroup="bank-full" count="0" hidden="1">
      <extLst>
        <ext xmlns:x15="http://schemas.microsoft.com/office/spreadsheetml/2010/11/main" uri="{B97F6D7D-B522-45F9-BDA1-12C45D357490}">
          <x15:cacheHierarchy aggregatedColumn="17"/>
        </ext>
      </extLst>
    </cacheHierarchy>
    <cacheHierarchy uniqueName="[Measures].[Count of Subscribed]" caption="Count of Subscribed" measure="1" displayFolder="" measureGroup="bank-full" count="0" hidden="1">
      <extLst>
        <ext xmlns:x15="http://schemas.microsoft.com/office/spreadsheetml/2010/11/main" uri="{B97F6D7D-B522-45F9-BDA1-12C45D357490}">
          <x15:cacheHierarchy aggregatedColumn="17"/>
        </ext>
      </extLst>
    </cacheHierarchy>
    <cacheHierarchy uniqueName="[Measures].[Sum of Not Subscribed]" caption="Sum of Not Subscribed" measure="1" displayFolder="" measureGroup="bank-full" count="0" hidden="1">
      <extLst>
        <ext xmlns:x15="http://schemas.microsoft.com/office/spreadsheetml/2010/11/main" uri="{B97F6D7D-B522-45F9-BDA1-12C45D357490}">
          <x15:cacheHierarchy aggregatedColumn="18"/>
        </ext>
      </extLst>
    </cacheHierarchy>
    <cacheHierarchy uniqueName="[Measures].[Average of Subscribed]" caption="Average of Subscribed" measure="1" displayFolder="" measureGroup="bank-full" count="0" hidden="1">
      <extLst>
        <ext xmlns:x15="http://schemas.microsoft.com/office/spreadsheetml/2010/11/main" uri="{B97F6D7D-B522-45F9-BDA1-12C45D357490}">
          <x15:cacheHierarchy aggregatedColumn="17"/>
        </ext>
      </extLst>
    </cacheHierarchy>
    <cacheHierarchy uniqueName="[Measures].[Sum of previous]" caption="Sum of previous" measure="1" displayFolder="" measureGroup="bank-full" count="0" hidden="1">
      <extLst>
        <ext xmlns:x15="http://schemas.microsoft.com/office/spreadsheetml/2010/11/main" uri="{B97F6D7D-B522-45F9-BDA1-12C45D357490}">
          <x15:cacheHierarchy aggregatedColumn="14"/>
        </ext>
      </extLst>
    </cacheHierarchy>
    <cacheHierarchy uniqueName="[Measures].[Count of contact]" caption="Count of contact" measure="1" displayFolder="" measureGroup="bank-full" count="0" hidden="1">
      <extLst>
        <ext xmlns:x15="http://schemas.microsoft.com/office/spreadsheetml/2010/11/main" uri="{B97F6D7D-B522-45F9-BDA1-12C45D357490}">
          <x15:cacheHierarchy aggregatedColumn="8"/>
        </ext>
      </extLst>
    </cacheHierarchy>
  </cacheHierarchies>
  <kpis count="0"/>
  <dimensions count="2">
    <dimension name="bank-full" uniqueName="[bank-full]" caption="bank-full"/>
    <dimension measure="1" name="Measures" uniqueName="[Measures]" caption="Measures"/>
  </dimensions>
  <measureGroups count="1">
    <measureGroup name="bank-full" caption="bank-full"/>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xioo Pongo" refreshedDate="46135.232389583332" createdVersion="5" refreshedVersion="8" minRefreshableVersion="3" recordCount="0" supportSubquery="1" supportAdvancedDrill="1" xr:uid="{ECB47D55-46A0-4E32-B619-01558EFCF718}">
  <cacheSource type="external" connectionId="2"/>
  <cacheFields count="5">
    <cacheField name="[Measures].[AVG Call Durations]" caption="AVG Call Durations" numFmtId="0" hierarchy="23" level="32767"/>
    <cacheField name="[bank-full].[loan].[loan]" caption="loan" numFmtId="0" hierarchy="7" level="1">
      <sharedItems containsSemiMixedTypes="0" containsNonDate="0" containsString="0"/>
    </cacheField>
    <cacheField name="[bank-full].[housing].[housing]" caption="housing" numFmtId="0" hierarchy="6" level="1">
      <sharedItems containsSemiMixedTypes="0" containsNonDate="0" containsString="0"/>
    </cacheField>
    <cacheField name="[bank-full].[marital].[marital]" caption="marital" numFmtId="0" hierarchy="2" level="1">
      <sharedItems containsSemiMixedTypes="0" containsNonDate="0" containsString="0"/>
    </cacheField>
    <cacheField name="[bank-full].[education].[education]" caption="education" numFmtId="0" hierarchy="3" level="1">
      <sharedItems containsSemiMixedTypes="0" containsNonDate="0" containsString="0"/>
    </cacheField>
  </cacheFields>
  <cacheHierarchies count="34">
    <cacheHierarchy uniqueName="[bank-full].[age]" caption="age" attribute="1" defaultMemberUniqueName="[bank-full].[age].[All]" allUniqueName="[bank-full].[age].[All]" dimensionUniqueName="[bank-full]" displayFolder="" count="0" memberValueDatatype="20" unbalanced="0"/>
    <cacheHierarchy uniqueName="[bank-full].[job]" caption="job" attribute="1" defaultMemberUniqueName="[bank-full].[job].[All]" allUniqueName="[bank-full].[job].[All]" dimensionUniqueName="[bank-full]" displayFolder="" count="0" memberValueDatatype="130" unbalanced="0"/>
    <cacheHierarchy uniqueName="[bank-full].[marital]" caption="marital" attribute="1" defaultMemberUniqueName="[bank-full].[marital].[All]" allUniqueName="[bank-full].[marital].[All]" dimensionUniqueName="[bank-full]" displayFolder="" count="2" memberValueDatatype="130" unbalanced="0">
      <fieldsUsage count="2">
        <fieldUsage x="-1"/>
        <fieldUsage x="3"/>
      </fieldsUsage>
    </cacheHierarchy>
    <cacheHierarchy uniqueName="[bank-full].[education]" caption="education" attribute="1" defaultMemberUniqueName="[bank-full].[education].[All]" allUniqueName="[bank-full].[education].[All]" dimensionUniqueName="[bank-full]" displayFolder="" count="2" memberValueDatatype="130" unbalanced="0">
      <fieldsUsage count="2">
        <fieldUsage x="-1"/>
        <fieldUsage x="4"/>
      </fieldsUsage>
    </cacheHierarchy>
    <cacheHierarchy uniqueName="[bank-full].[default]" caption="default" attribute="1" defaultMemberUniqueName="[bank-full].[default].[All]" allUniqueName="[bank-full].[default].[All]" dimensionUniqueName="[bank-full]" displayFolder="" count="0" memberValueDatatype="130" unbalanced="0"/>
    <cacheHierarchy uniqueName="[bank-full].[balance]" caption="balance" attribute="1" defaultMemberUniqueName="[bank-full].[balance].[All]" allUniqueName="[bank-full].[balance].[All]" dimensionUniqueName="[bank-full]" displayFolder="" count="0" memberValueDatatype="20" unbalanced="0"/>
    <cacheHierarchy uniqueName="[bank-full].[housing]" caption="housing" attribute="1" defaultMemberUniqueName="[bank-full].[housing].[All]" allUniqueName="[bank-full].[housing].[All]" dimensionUniqueName="[bank-full]" displayFolder="" count="2" memberValueDatatype="130" unbalanced="0">
      <fieldsUsage count="2">
        <fieldUsage x="-1"/>
        <fieldUsage x="2"/>
      </fieldsUsage>
    </cacheHierarchy>
    <cacheHierarchy uniqueName="[bank-full].[loan]" caption="loan" attribute="1" defaultMemberUniqueName="[bank-full].[loan].[All]" allUniqueName="[bank-full].[loan].[All]" dimensionUniqueName="[bank-full]" displayFolder="" count="2" memberValueDatatype="130" unbalanced="0">
      <fieldsUsage count="2">
        <fieldUsage x="-1"/>
        <fieldUsage x="1"/>
      </fieldsUsage>
    </cacheHierarchy>
    <cacheHierarchy uniqueName="[bank-full].[contact]" caption="contact" attribute="1" defaultMemberUniqueName="[bank-full].[contact].[All]" allUniqueName="[bank-full].[contact].[All]" dimensionUniqueName="[bank-full]" displayFolder="" count="0" memberValueDatatype="130" unbalanced="0"/>
    <cacheHierarchy uniqueName="[bank-full].[day]" caption="day" attribute="1" defaultMemberUniqueName="[bank-full].[day].[All]" allUniqueName="[bank-full].[day].[All]" dimensionUniqueName="[bank-full]" displayFolder="" count="0" memberValueDatatype="20" unbalanced="0"/>
    <cacheHierarchy uniqueName="[bank-full].[month]" caption="month" attribute="1" defaultMemberUniqueName="[bank-full].[month].[All]" allUniqueName="[bank-full].[month].[All]" dimensionUniqueName="[bank-full]" displayFolder="" count="0" memberValueDatatype="130" unbalanced="0"/>
    <cacheHierarchy uniqueName="[bank-full].[duration]" caption="duration" attribute="1" defaultMemberUniqueName="[bank-full].[duration].[All]" allUniqueName="[bank-full].[duration].[All]" dimensionUniqueName="[bank-full]" displayFolder="" count="0" memberValueDatatype="20" unbalanced="0"/>
    <cacheHierarchy uniqueName="[bank-full].[campaign]" caption="campaign" attribute="1" defaultMemberUniqueName="[bank-full].[campaign].[All]" allUniqueName="[bank-full].[campaign].[All]" dimensionUniqueName="[bank-full]" displayFolder="" count="0" memberValueDatatype="20" unbalanced="0"/>
    <cacheHierarchy uniqueName="[bank-full].[pdays]" caption="pdays" attribute="1" defaultMemberUniqueName="[bank-full].[pdays].[All]" allUniqueName="[bank-full].[pdays].[All]" dimensionUniqueName="[bank-full]" displayFolder="" count="0" memberValueDatatype="20" unbalanced="0"/>
    <cacheHierarchy uniqueName="[bank-full].[previous]" caption="previous" attribute="1" defaultMemberUniqueName="[bank-full].[previous].[All]" allUniqueName="[bank-full].[previous].[All]" dimensionUniqueName="[bank-full]" displayFolder="" count="0" memberValueDatatype="20" unbalanced="0"/>
    <cacheHierarchy uniqueName="[bank-full].[poutcome]" caption="poutcome" attribute="1" defaultMemberUniqueName="[bank-full].[poutcome].[All]" allUniqueName="[bank-full].[poutcome].[All]" dimensionUniqueName="[bank-full]" displayFolder="" count="0" memberValueDatatype="130" unbalanced="0"/>
    <cacheHierarchy uniqueName="[bank-full].[y]" caption="y" attribute="1" defaultMemberUniqueName="[bank-full].[y].[All]" allUniqueName="[bank-full].[y].[All]" dimensionUniqueName="[bank-full]" displayFolder="" count="0" memberValueDatatype="130" unbalanced="0"/>
    <cacheHierarchy uniqueName="[bank-full].[Subscribed]" caption="Subscribed" attribute="1" defaultMemberUniqueName="[bank-full].[Subscribed].[All]" allUniqueName="[bank-full].[Subscribed].[All]" dimensionUniqueName="[bank-full]" displayFolder="" count="0" memberValueDatatype="20" unbalanced="0"/>
    <cacheHierarchy uniqueName="[bank-full].[Not Subscribed]" caption="Not Subscribed" attribute="1" defaultMemberUniqueName="[bank-full].[Not Subscribed].[All]" allUniqueName="[bank-full].[Not Subscribed].[All]" dimensionUniqueName="[bank-full]" displayFolder="" count="0" memberValueDatatype="20" unbalanced="0"/>
    <cacheHierarchy uniqueName="[bank-full].[Age Group]" caption="Age Group" attribute="1" defaultMemberUniqueName="[bank-full].[Age Group].[All]" allUniqueName="[bank-full].[Age Group].[All]" dimensionUniqueName="[bank-full]" displayFolder="" count="0" memberValueDatatype="130" unbalanced="0"/>
    <cacheHierarchy uniqueName="[bank-full].[Balance Tier]" caption="Balance Tier" attribute="1" defaultMemberUniqueName="[bank-full].[Balance Tier].[All]" allUniqueName="[bank-full].[Balance Tier].[All]" dimensionUniqueName="[bank-full]" displayFolder="" count="0" memberValueDatatype="130" unbalanced="0"/>
    <cacheHierarchy uniqueName="[Measures].[Total Contacts]" caption="Total Contacts" measure="1" displayFolder="" measureGroup="bank-full" count="0"/>
    <cacheHierarchy uniqueName="[Measures].[Total Subscriptions]" caption="Total Subscriptions" measure="1" displayFolder="" measureGroup="bank-full" count="0"/>
    <cacheHierarchy uniqueName="[Measures].[AVG Call Durations]" caption="AVG Call Durations" measure="1" displayFolder="" measureGroup="bank-full" count="0" oneField="1">
      <fieldsUsage count="1">
        <fieldUsage x="0"/>
      </fieldsUsage>
    </cacheHierarchy>
    <cacheHierarchy uniqueName="[Measures].[AVG Contacts/Client]" caption="AVG Contacts/Client" measure="1" displayFolder="" measureGroup="bank-full" count="0"/>
    <cacheHierarchy uniqueName="[Measures].[__XL_Count bank-full]" caption="__XL_Count bank-full" measure="1" displayFolder="" measureGroup="bank-full" count="0" hidden="1"/>
    <cacheHierarchy uniqueName="[Measures].[__No measures defined]" caption="__No measures defined" measure="1" displayFolder="" count="0" hidden="1"/>
    <cacheHierarchy uniqueName="[Measures].[Count of y]" caption="Count of y" measure="1" displayFolder="" measureGroup="bank-full" count="0" hidden="1">
      <extLst>
        <ext xmlns:x15="http://schemas.microsoft.com/office/spreadsheetml/2010/11/main" uri="{B97F6D7D-B522-45F9-BDA1-12C45D357490}">
          <x15:cacheHierarchy aggregatedColumn="16"/>
        </ext>
      </extLst>
    </cacheHierarchy>
    <cacheHierarchy uniqueName="[Measures].[Sum of Subscribed]" caption="Sum of Subscribed" measure="1" displayFolder="" measureGroup="bank-full" count="0" hidden="1">
      <extLst>
        <ext xmlns:x15="http://schemas.microsoft.com/office/spreadsheetml/2010/11/main" uri="{B97F6D7D-B522-45F9-BDA1-12C45D357490}">
          <x15:cacheHierarchy aggregatedColumn="17"/>
        </ext>
      </extLst>
    </cacheHierarchy>
    <cacheHierarchy uniqueName="[Measures].[Count of Subscribed]" caption="Count of Subscribed" measure="1" displayFolder="" measureGroup="bank-full" count="0" hidden="1">
      <extLst>
        <ext xmlns:x15="http://schemas.microsoft.com/office/spreadsheetml/2010/11/main" uri="{B97F6D7D-B522-45F9-BDA1-12C45D357490}">
          <x15:cacheHierarchy aggregatedColumn="17"/>
        </ext>
      </extLst>
    </cacheHierarchy>
    <cacheHierarchy uniqueName="[Measures].[Sum of Not Subscribed]" caption="Sum of Not Subscribed" measure="1" displayFolder="" measureGroup="bank-full" count="0" hidden="1">
      <extLst>
        <ext xmlns:x15="http://schemas.microsoft.com/office/spreadsheetml/2010/11/main" uri="{B97F6D7D-B522-45F9-BDA1-12C45D357490}">
          <x15:cacheHierarchy aggregatedColumn="18"/>
        </ext>
      </extLst>
    </cacheHierarchy>
    <cacheHierarchy uniqueName="[Measures].[Average of Subscribed]" caption="Average of Subscribed" measure="1" displayFolder="" measureGroup="bank-full" count="0" hidden="1">
      <extLst>
        <ext xmlns:x15="http://schemas.microsoft.com/office/spreadsheetml/2010/11/main" uri="{B97F6D7D-B522-45F9-BDA1-12C45D357490}">
          <x15:cacheHierarchy aggregatedColumn="17"/>
        </ext>
      </extLst>
    </cacheHierarchy>
    <cacheHierarchy uniqueName="[Measures].[Sum of previous]" caption="Sum of previous" measure="1" displayFolder="" measureGroup="bank-full" count="0" hidden="1">
      <extLst>
        <ext xmlns:x15="http://schemas.microsoft.com/office/spreadsheetml/2010/11/main" uri="{B97F6D7D-B522-45F9-BDA1-12C45D357490}">
          <x15:cacheHierarchy aggregatedColumn="14"/>
        </ext>
      </extLst>
    </cacheHierarchy>
    <cacheHierarchy uniqueName="[Measures].[Count of contact]" caption="Count of contact" measure="1" displayFolder="" measureGroup="bank-full" count="0" hidden="1">
      <extLst>
        <ext xmlns:x15="http://schemas.microsoft.com/office/spreadsheetml/2010/11/main" uri="{B97F6D7D-B522-45F9-BDA1-12C45D357490}">
          <x15:cacheHierarchy aggregatedColumn="8"/>
        </ext>
      </extLst>
    </cacheHierarchy>
  </cacheHierarchies>
  <kpis count="0"/>
  <dimensions count="2">
    <dimension name="bank-full" uniqueName="[bank-full]" caption="bank-full"/>
    <dimension measure="1" name="Measures" uniqueName="[Measures]" caption="Measures"/>
  </dimensions>
  <measureGroups count="1">
    <measureGroup name="bank-full" caption="bank-full"/>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xioo Pongo" refreshedDate="46135.232390740741" createdVersion="5" refreshedVersion="8" minRefreshableVersion="3" recordCount="0" supportSubquery="1" supportAdvancedDrill="1" xr:uid="{2E805304-2E20-4E91-8369-32C59E743616}">
  <cacheSource type="external" connectionId="2"/>
  <cacheFields count="5">
    <cacheField name="[Measures].[AVG Contacts/Client]" caption="AVG Contacts/Client" numFmtId="0" hierarchy="24" level="32767"/>
    <cacheField name="[bank-full].[loan].[loan]" caption="loan" numFmtId="0" hierarchy="7" level="1">
      <sharedItems containsSemiMixedTypes="0" containsNonDate="0" containsString="0"/>
    </cacheField>
    <cacheField name="[bank-full].[housing].[housing]" caption="housing" numFmtId="0" hierarchy="6" level="1">
      <sharedItems containsSemiMixedTypes="0" containsNonDate="0" containsString="0"/>
    </cacheField>
    <cacheField name="[bank-full].[marital].[marital]" caption="marital" numFmtId="0" hierarchy="2" level="1">
      <sharedItems containsSemiMixedTypes="0" containsNonDate="0" containsString="0"/>
    </cacheField>
    <cacheField name="[bank-full].[education].[education]" caption="education" numFmtId="0" hierarchy="3" level="1">
      <sharedItems containsSemiMixedTypes="0" containsNonDate="0" containsString="0"/>
    </cacheField>
  </cacheFields>
  <cacheHierarchies count="34">
    <cacheHierarchy uniqueName="[bank-full].[age]" caption="age" attribute="1" defaultMemberUniqueName="[bank-full].[age].[All]" allUniqueName="[bank-full].[age].[All]" dimensionUniqueName="[bank-full]" displayFolder="" count="0" memberValueDatatype="20" unbalanced="0"/>
    <cacheHierarchy uniqueName="[bank-full].[job]" caption="job" attribute="1" defaultMemberUniqueName="[bank-full].[job].[All]" allUniqueName="[bank-full].[job].[All]" dimensionUniqueName="[bank-full]" displayFolder="" count="0" memberValueDatatype="130" unbalanced="0"/>
    <cacheHierarchy uniqueName="[bank-full].[marital]" caption="marital" attribute="1" defaultMemberUniqueName="[bank-full].[marital].[All]" allUniqueName="[bank-full].[marital].[All]" dimensionUniqueName="[bank-full]" displayFolder="" count="2" memberValueDatatype="130" unbalanced="0">
      <fieldsUsage count="2">
        <fieldUsage x="-1"/>
        <fieldUsage x="3"/>
      </fieldsUsage>
    </cacheHierarchy>
    <cacheHierarchy uniqueName="[bank-full].[education]" caption="education" attribute="1" defaultMemberUniqueName="[bank-full].[education].[All]" allUniqueName="[bank-full].[education].[All]" dimensionUniqueName="[bank-full]" displayFolder="" count="2" memberValueDatatype="130" unbalanced="0">
      <fieldsUsage count="2">
        <fieldUsage x="-1"/>
        <fieldUsage x="4"/>
      </fieldsUsage>
    </cacheHierarchy>
    <cacheHierarchy uniqueName="[bank-full].[default]" caption="default" attribute="1" defaultMemberUniqueName="[bank-full].[default].[All]" allUniqueName="[bank-full].[default].[All]" dimensionUniqueName="[bank-full]" displayFolder="" count="0" memberValueDatatype="130" unbalanced="0"/>
    <cacheHierarchy uniqueName="[bank-full].[balance]" caption="balance" attribute="1" defaultMemberUniqueName="[bank-full].[balance].[All]" allUniqueName="[bank-full].[balance].[All]" dimensionUniqueName="[bank-full]" displayFolder="" count="0" memberValueDatatype="20" unbalanced="0"/>
    <cacheHierarchy uniqueName="[bank-full].[housing]" caption="housing" attribute="1" defaultMemberUniqueName="[bank-full].[housing].[All]" allUniqueName="[bank-full].[housing].[All]" dimensionUniqueName="[bank-full]" displayFolder="" count="2" memberValueDatatype="130" unbalanced="0">
      <fieldsUsage count="2">
        <fieldUsage x="-1"/>
        <fieldUsage x="2"/>
      </fieldsUsage>
    </cacheHierarchy>
    <cacheHierarchy uniqueName="[bank-full].[loan]" caption="loan" attribute="1" defaultMemberUniqueName="[bank-full].[loan].[All]" allUniqueName="[bank-full].[loan].[All]" dimensionUniqueName="[bank-full]" displayFolder="" count="2" memberValueDatatype="130" unbalanced="0">
      <fieldsUsage count="2">
        <fieldUsage x="-1"/>
        <fieldUsage x="1"/>
      </fieldsUsage>
    </cacheHierarchy>
    <cacheHierarchy uniqueName="[bank-full].[contact]" caption="contact" attribute="1" defaultMemberUniqueName="[bank-full].[contact].[All]" allUniqueName="[bank-full].[contact].[All]" dimensionUniqueName="[bank-full]" displayFolder="" count="0" memberValueDatatype="130" unbalanced="0"/>
    <cacheHierarchy uniqueName="[bank-full].[day]" caption="day" attribute="1" defaultMemberUniqueName="[bank-full].[day].[All]" allUniqueName="[bank-full].[day].[All]" dimensionUniqueName="[bank-full]" displayFolder="" count="0" memberValueDatatype="20" unbalanced="0"/>
    <cacheHierarchy uniqueName="[bank-full].[month]" caption="month" attribute="1" defaultMemberUniqueName="[bank-full].[month].[All]" allUniqueName="[bank-full].[month].[All]" dimensionUniqueName="[bank-full]" displayFolder="" count="0" memberValueDatatype="130" unbalanced="0"/>
    <cacheHierarchy uniqueName="[bank-full].[duration]" caption="duration" attribute="1" defaultMemberUniqueName="[bank-full].[duration].[All]" allUniqueName="[bank-full].[duration].[All]" dimensionUniqueName="[bank-full]" displayFolder="" count="0" memberValueDatatype="20" unbalanced="0"/>
    <cacheHierarchy uniqueName="[bank-full].[campaign]" caption="campaign" attribute="1" defaultMemberUniqueName="[bank-full].[campaign].[All]" allUniqueName="[bank-full].[campaign].[All]" dimensionUniqueName="[bank-full]" displayFolder="" count="0" memberValueDatatype="20" unbalanced="0"/>
    <cacheHierarchy uniqueName="[bank-full].[pdays]" caption="pdays" attribute="1" defaultMemberUniqueName="[bank-full].[pdays].[All]" allUniqueName="[bank-full].[pdays].[All]" dimensionUniqueName="[bank-full]" displayFolder="" count="0" memberValueDatatype="20" unbalanced="0"/>
    <cacheHierarchy uniqueName="[bank-full].[previous]" caption="previous" attribute="1" defaultMemberUniqueName="[bank-full].[previous].[All]" allUniqueName="[bank-full].[previous].[All]" dimensionUniqueName="[bank-full]" displayFolder="" count="0" memberValueDatatype="20" unbalanced="0"/>
    <cacheHierarchy uniqueName="[bank-full].[poutcome]" caption="poutcome" attribute="1" defaultMemberUniqueName="[bank-full].[poutcome].[All]" allUniqueName="[bank-full].[poutcome].[All]" dimensionUniqueName="[bank-full]" displayFolder="" count="0" memberValueDatatype="130" unbalanced="0"/>
    <cacheHierarchy uniqueName="[bank-full].[y]" caption="y" attribute="1" defaultMemberUniqueName="[bank-full].[y].[All]" allUniqueName="[bank-full].[y].[All]" dimensionUniqueName="[bank-full]" displayFolder="" count="0" memberValueDatatype="130" unbalanced="0"/>
    <cacheHierarchy uniqueName="[bank-full].[Subscribed]" caption="Subscribed" attribute="1" defaultMemberUniqueName="[bank-full].[Subscribed].[All]" allUniqueName="[bank-full].[Subscribed].[All]" dimensionUniqueName="[bank-full]" displayFolder="" count="0" memberValueDatatype="20" unbalanced="0"/>
    <cacheHierarchy uniqueName="[bank-full].[Not Subscribed]" caption="Not Subscribed" attribute="1" defaultMemberUniqueName="[bank-full].[Not Subscribed].[All]" allUniqueName="[bank-full].[Not Subscribed].[All]" dimensionUniqueName="[bank-full]" displayFolder="" count="0" memberValueDatatype="20" unbalanced="0"/>
    <cacheHierarchy uniqueName="[bank-full].[Age Group]" caption="Age Group" attribute="1" defaultMemberUniqueName="[bank-full].[Age Group].[All]" allUniqueName="[bank-full].[Age Group].[All]" dimensionUniqueName="[bank-full]" displayFolder="" count="0" memberValueDatatype="130" unbalanced="0"/>
    <cacheHierarchy uniqueName="[bank-full].[Balance Tier]" caption="Balance Tier" attribute="1" defaultMemberUniqueName="[bank-full].[Balance Tier].[All]" allUniqueName="[bank-full].[Balance Tier].[All]" dimensionUniqueName="[bank-full]" displayFolder="" count="0" memberValueDatatype="130" unbalanced="0"/>
    <cacheHierarchy uniqueName="[Measures].[Total Contacts]" caption="Total Contacts" measure="1" displayFolder="" measureGroup="bank-full" count="0"/>
    <cacheHierarchy uniqueName="[Measures].[Total Subscriptions]" caption="Total Subscriptions" measure="1" displayFolder="" measureGroup="bank-full" count="0"/>
    <cacheHierarchy uniqueName="[Measures].[AVG Call Durations]" caption="AVG Call Durations" measure="1" displayFolder="" measureGroup="bank-full" count="0"/>
    <cacheHierarchy uniqueName="[Measures].[AVG Contacts/Client]" caption="AVG Contacts/Client" measure="1" displayFolder="" measureGroup="bank-full" count="0" oneField="1">
      <fieldsUsage count="1">
        <fieldUsage x="0"/>
      </fieldsUsage>
    </cacheHierarchy>
    <cacheHierarchy uniqueName="[Measures].[__XL_Count bank-full]" caption="__XL_Count bank-full" measure="1" displayFolder="" measureGroup="bank-full" count="0" hidden="1"/>
    <cacheHierarchy uniqueName="[Measures].[__No measures defined]" caption="__No measures defined" measure="1" displayFolder="" count="0" hidden="1"/>
    <cacheHierarchy uniqueName="[Measures].[Count of y]" caption="Count of y" measure="1" displayFolder="" measureGroup="bank-full" count="0" hidden="1">
      <extLst>
        <ext xmlns:x15="http://schemas.microsoft.com/office/spreadsheetml/2010/11/main" uri="{B97F6D7D-B522-45F9-BDA1-12C45D357490}">
          <x15:cacheHierarchy aggregatedColumn="16"/>
        </ext>
      </extLst>
    </cacheHierarchy>
    <cacheHierarchy uniqueName="[Measures].[Sum of Subscribed]" caption="Sum of Subscribed" measure="1" displayFolder="" measureGroup="bank-full" count="0" hidden="1">
      <extLst>
        <ext xmlns:x15="http://schemas.microsoft.com/office/spreadsheetml/2010/11/main" uri="{B97F6D7D-B522-45F9-BDA1-12C45D357490}">
          <x15:cacheHierarchy aggregatedColumn="17"/>
        </ext>
      </extLst>
    </cacheHierarchy>
    <cacheHierarchy uniqueName="[Measures].[Count of Subscribed]" caption="Count of Subscribed" measure="1" displayFolder="" measureGroup="bank-full" count="0" hidden="1">
      <extLst>
        <ext xmlns:x15="http://schemas.microsoft.com/office/spreadsheetml/2010/11/main" uri="{B97F6D7D-B522-45F9-BDA1-12C45D357490}">
          <x15:cacheHierarchy aggregatedColumn="17"/>
        </ext>
      </extLst>
    </cacheHierarchy>
    <cacheHierarchy uniqueName="[Measures].[Sum of Not Subscribed]" caption="Sum of Not Subscribed" measure="1" displayFolder="" measureGroup="bank-full" count="0" hidden="1">
      <extLst>
        <ext xmlns:x15="http://schemas.microsoft.com/office/spreadsheetml/2010/11/main" uri="{B97F6D7D-B522-45F9-BDA1-12C45D357490}">
          <x15:cacheHierarchy aggregatedColumn="18"/>
        </ext>
      </extLst>
    </cacheHierarchy>
    <cacheHierarchy uniqueName="[Measures].[Average of Subscribed]" caption="Average of Subscribed" measure="1" displayFolder="" measureGroup="bank-full" count="0" hidden="1">
      <extLst>
        <ext xmlns:x15="http://schemas.microsoft.com/office/spreadsheetml/2010/11/main" uri="{B97F6D7D-B522-45F9-BDA1-12C45D357490}">
          <x15:cacheHierarchy aggregatedColumn="17"/>
        </ext>
      </extLst>
    </cacheHierarchy>
    <cacheHierarchy uniqueName="[Measures].[Sum of previous]" caption="Sum of previous" measure="1" displayFolder="" measureGroup="bank-full" count="0" hidden="1">
      <extLst>
        <ext xmlns:x15="http://schemas.microsoft.com/office/spreadsheetml/2010/11/main" uri="{B97F6D7D-B522-45F9-BDA1-12C45D357490}">
          <x15:cacheHierarchy aggregatedColumn="14"/>
        </ext>
      </extLst>
    </cacheHierarchy>
    <cacheHierarchy uniqueName="[Measures].[Count of contact]" caption="Count of contact" measure="1" displayFolder="" measureGroup="bank-full" count="0" hidden="1">
      <extLst>
        <ext xmlns:x15="http://schemas.microsoft.com/office/spreadsheetml/2010/11/main" uri="{B97F6D7D-B522-45F9-BDA1-12C45D357490}">
          <x15:cacheHierarchy aggregatedColumn="8"/>
        </ext>
      </extLst>
    </cacheHierarchy>
  </cacheHierarchies>
  <kpis count="0"/>
  <dimensions count="2">
    <dimension name="bank-full" uniqueName="[bank-full]" caption="bank-full"/>
    <dimension measure="1" name="Measures" uniqueName="[Measures]" caption="Measures"/>
  </dimensions>
  <measureGroups count="1">
    <measureGroup name="bank-full" caption="bank-full"/>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xioo Pongo" refreshedDate="46135.232392361111" createdVersion="5" refreshedVersion="8" minRefreshableVersion="3" recordCount="0" supportSubquery="1" supportAdvancedDrill="1" xr:uid="{AE0EF97B-AFD9-4F45-8437-F156CFA0EB3E}">
  <cacheSource type="external" connectionId="2"/>
  <cacheFields count="7">
    <cacheField name="[bank-full].[month].[month]" caption="month" numFmtId="0" hierarchy="10" level="1">
      <sharedItems count="12">
        <s v="Apr"/>
        <s v="Aug"/>
        <s v="Dec"/>
        <s v="Feb"/>
        <s v="Jan"/>
        <s v="Jul"/>
        <s v="Jun"/>
        <s v="Mar"/>
        <s v="May"/>
        <s v="Nov"/>
        <s v="Oct"/>
        <s v="Sep"/>
      </sharedItems>
    </cacheField>
    <cacheField name="[Measures].[Sum of Subscribed]" caption="Sum of Subscribed" numFmtId="0" hierarchy="28" level="32767"/>
    <cacheField name="[Measures].[Sum of Not Subscribed]" caption="Sum of Not Subscribed" numFmtId="0" hierarchy="30" level="32767"/>
    <cacheField name="[bank-full].[loan].[loan]" caption="loan" numFmtId="0" hierarchy="7" level="1">
      <sharedItems containsSemiMixedTypes="0" containsNonDate="0" containsString="0"/>
    </cacheField>
    <cacheField name="[bank-full].[housing].[housing]" caption="housing" numFmtId="0" hierarchy="6" level="1">
      <sharedItems containsSemiMixedTypes="0" containsNonDate="0" containsString="0"/>
    </cacheField>
    <cacheField name="[bank-full].[marital].[marital]" caption="marital" numFmtId="0" hierarchy="2" level="1">
      <sharedItems containsSemiMixedTypes="0" containsNonDate="0" containsString="0"/>
    </cacheField>
    <cacheField name="[bank-full].[education].[education]" caption="education" numFmtId="0" hierarchy="3" level="1">
      <sharedItems containsSemiMixedTypes="0" containsNonDate="0" containsString="0"/>
    </cacheField>
  </cacheFields>
  <cacheHierarchies count="34">
    <cacheHierarchy uniqueName="[bank-full].[age]" caption="age" attribute="1" defaultMemberUniqueName="[bank-full].[age].[All]" allUniqueName="[bank-full].[age].[All]" dimensionUniqueName="[bank-full]" displayFolder="" count="0" memberValueDatatype="20" unbalanced="0"/>
    <cacheHierarchy uniqueName="[bank-full].[job]" caption="job" attribute="1" defaultMemberUniqueName="[bank-full].[job].[All]" allUniqueName="[bank-full].[job].[All]" dimensionUniqueName="[bank-full]" displayFolder="" count="0" memberValueDatatype="130" unbalanced="0"/>
    <cacheHierarchy uniqueName="[bank-full].[marital]" caption="marital" attribute="1" defaultMemberUniqueName="[bank-full].[marital].[All]" allUniqueName="[bank-full].[marital].[All]" dimensionUniqueName="[bank-full]" displayFolder="" count="2" memberValueDatatype="130" unbalanced="0">
      <fieldsUsage count="2">
        <fieldUsage x="-1"/>
        <fieldUsage x="5"/>
      </fieldsUsage>
    </cacheHierarchy>
    <cacheHierarchy uniqueName="[bank-full].[education]" caption="education" attribute="1" defaultMemberUniqueName="[bank-full].[education].[All]" allUniqueName="[bank-full].[education].[All]" dimensionUniqueName="[bank-full]" displayFolder="" count="2" memberValueDatatype="130" unbalanced="0">
      <fieldsUsage count="2">
        <fieldUsage x="-1"/>
        <fieldUsage x="6"/>
      </fieldsUsage>
    </cacheHierarchy>
    <cacheHierarchy uniqueName="[bank-full].[default]" caption="default" attribute="1" defaultMemberUniqueName="[bank-full].[default].[All]" allUniqueName="[bank-full].[default].[All]" dimensionUniqueName="[bank-full]" displayFolder="" count="0" memberValueDatatype="130" unbalanced="0"/>
    <cacheHierarchy uniqueName="[bank-full].[balance]" caption="balance" attribute="1" defaultMemberUniqueName="[bank-full].[balance].[All]" allUniqueName="[bank-full].[balance].[All]" dimensionUniqueName="[bank-full]" displayFolder="" count="0" memberValueDatatype="20" unbalanced="0"/>
    <cacheHierarchy uniqueName="[bank-full].[housing]" caption="housing" attribute="1" defaultMemberUniqueName="[bank-full].[housing].[All]" allUniqueName="[bank-full].[housing].[All]" dimensionUniqueName="[bank-full]" displayFolder="" count="2" memberValueDatatype="130" unbalanced="0">
      <fieldsUsage count="2">
        <fieldUsage x="-1"/>
        <fieldUsage x="4"/>
      </fieldsUsage>
    </cacheHierarchy>
    <cacheHierarchy uniqueName="[bank-full].[loan]" caption="loan" attribute="1" defaultMemberUniqueName="[bank-full].[loan].[All]" allUniqueName="[bank-full].[loan].[All]" dimensionUniqueName="[bank-full]" displayFolder="" count="2" memberValueDatatype="130" unbalanced="0">
      <fieldsUsage count="2">
        <fieldUsage x="-1"/>
        <fieldUsage x="3"/>
      </fieldsUsage>
    </cacheHierarchy>
    <cacheHierarchy uniqueName="[bank-full].[contact]" caption="contact" attribute="1" defaultMemberUniqueName="[bank-full].[contact].[All]" allUniqueName="[bank-full].[contact].[All]" dimensionUniqueName="[bank-full]" displayFolder="" count="0" memberValueDatatype="130" unbalanced="0"/>
    <cacheHierarchy uniqueName="[bank-full].[day]" caption="day" attribute="1" defaultMemberUniqueName="[bank-full].[day].[All]" allUniqueName="[bank-full].[day].[All]" dimensionUniqueName="[bank-full]" displayFolder="" count="0" memberValueDatatype="20" unbalanced="0"/>
    <cacheHierarchy uniqueName="[bank-full].[month]" caption="month" attribute="1" defaultMemberUniqueName="[bank-full].[month].[All]" allUniqueName="[bank-full].[month].[All]" dimensionUniqueName="[bank-full]" displayFolder="" count="2" memberValueDatatype="130" unbalanced="0">
      <fieldsUsage count="2">
        <fieldUsage x="-1"/>
        <fieldUsage x="0"/>
      </fieldsUsage>
    </cacheHierarchy>
    <cacheHierarchy uniqueName="[bank-full].[duration]" caption="duration" attribute="1" defaultMemberUniqueName="[bank-full].[duration].[All]" allUniqueName="[bank-full].[duration].[All]" dimensionUniqueName="[bank-full]" displayFolder="" count="0" memberValueDatatype="20" unbalanced="0"/>
    <cacheHierarchy uniqueName="[bank-full].[campaign]" caption="campaign" attribute="1" defaultMemberUniqueName="[bank-full].[campaign].[All]" allUniqueName="[bank-full].[campaign].[All]" dimensionUniqueName="[bank-full]" displayFolder="" count="0" memberValueDatatype="20" unbalanced="0"/>
    <cacheHierarchy uniqueName="[bank-full].[pdays]" caption="pdays" attribute="1" defaultMemberUniqueName="[bank-full].[pdays].[All]" allUniqueName="[bank-full].[pdays].[All]" dimensionUniqueName="[bank-full]" displayFolder="" count="0" memberValueDatatype="20" unbalanced="0"/>
    <cacheHierarchy uniqueName="[bank-full].[previous]" caption="previous" attribute="1" defaultMemberUniqueName="[bank-full].[previous].[All]" allUniqueName="[bank-full].[previous].[All]" dimensionUniqueName="[bank-full]" displayFolder="" count="0" memberValueDatatype="20" unbalanced="0"/>
    <cacheHierarchy uniqueName="[bank-full].[poutcome]" caption="poutcome" attribute="1" defaultMemberUniqueName="[bank-full].[poutcome].[All]" allUniqueName="[bank-full].[poutcome].[All]" dimensionUniqueName="[bank-full]" displayFolder="" count="0" memberValueDatatype="130" unbalanced="0"/>
    <cacheHierarchy uniqueName="[bank-full].[y]" caption="y" attribute="1" defaultMemberUniqueName="[bank-full].[y].[All]" allUniqueName="[bank-full].[y].[All]" dimensionUniqueName="[bank-full]" displayFolder="" count="0" memberValueDatatype="130" unbalanced="0"/>
    <cacheHierarchy uniqueName="[bank-full].[Subscribed]" caption="Subscribed" attribute="1" defaultMemberUniqueName="[bank-full].[Subscribed].[All]" allUniqueName="[bank-full].[Subscribed].[All]" dimensionUniqueName="[bank-full]" displayFolder="" count="0" memberValueDatatype="20" unbalanced="0"/>
    <cacheHierarchy uniqueName="[bank-full].[Not Subscribed]" caption="Not Subscribed" attribute="1" defaultMemberUniqueName="[bank-full].[Not Subscribed].[All]" allUniqueName="[bank-full].[Not Subscribed].[All]" dimensionUniqueName="[bank-full]" displayFolder="" count="0" memberValueDatatype="20" unbalanced="0"/>
    <cacheHierarchy uniqueName="[bank-full].[Age Group]" caption="Age Group" attribute="1" defaultMemberUniqueName="[bank-full].[Age Group].[All]" allUniqueName="[bank-full].[Age Group].[All]" dimensionUniqueName="[bank-full]" displayFolder="" count="0" memberValueDatatype="130" unbalanced="0"/>
    <cacheHierarchy uniqueName="[bank-full].[Balance Tier]" caption="Balance Tier" attribute="1" defaultMemberUniqueName="[bank-full].[Balance Tier].[All]" allUniqueName="[bank-full].[Balance Tier].[All]" dimensionUniqueName="[bank-full]" displayFolder="" count="0" memberValueDatatype="130" unbalanced="0"/>
    <cacheHierarchy uniqueName="[Measures].[Total Contacts]" caption="Total Contacts" measure="1" displayFolder="" measureGroup="bank-full" count="0"/>
    <cacheHierarchy uniqueName="[Measures].[Total Subscriptions]" caption="Total Subscriptions" measure="1" displayFolder="" measureGroup="bank-full" count="0"/>
    <cacheHierarchy uniqueName="[Measures].[AVG Call Durations]" caption="AVG Call Durations" measure="1" displayFolder="" measureGroup="bank-full" count="0"/>
    <cacheHierarchy uniqueName="[Measures].[AVG Contacts/Client]" caption="AVG Contacts/Client" measure="1" displayFolder="" measureGroup="bank-full" count="0"/>
    <cacheHierarchy uniqueName="[Measures].[__XL_Count bank-full]" caption="__XL_Count bank-full" measure="1" displayFolder="" measureGroup="bank-full" count="0" hidden="1"/>
    <cacheHierarchy uniqueName="[Measures].[__No measures defined]" caption="__No measures defined" measure="1" displayFolder="" count="0" hidden="1"/>
    <cacheHierarchy uniqueName="[Measures].[Count of y]" caption="Count of y" measure="1" displayFolder="" measureGroup="bank-full" count="0" hidden="1">
      <extLst>
        <ext xmlns:x15="http://schemas.microsoft.com/office/spreadsheetml/2010/11/main" uri="{B97F6D7D-B522-45F9-BDA1-12C45D357490}">
          <x15:cacheHierarchy aggregatedColumn="16"/>
        </ext>
      </extLst>
    </cacheHierarchy>
    <cacheHierarchy uniqueName="[Measures].[Sum of Subscribed]" caption="Sum of Subscribed" measure="1" displayFolder="" measureGroup="bank-full"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Subscribed]" caption="Count of Subscribed" measure="1" displayFolder="" measureGroup="bank-full" count="0" hidden="1">
      <extLst>
        <ext xmlns:x15="http://schemas.microsoft.com/office/spreadsheetml/2010/11/main" uri="{B97F6D7D-B522-45F9-BDA1-12C45D357490}">
          <x15:cacheHierarchy aggregatedColumn="17"/>
        </ext>
      </extLst>
    </cacheHierarchy>
    <cacheHierarchy uniqueName="[Measures].[Sum of Not Subscribed]" caption="Sum of Not Subscribed" measure="1" displayFolder="" measureGroup="bank-full" count="0" oneField="1" hidden="1">
      <fieldsUsage count="1">
        <fieldUsage x="2"/>
      </fieldsUsage>
      <extLst>
        <ext xmlns:x15="http://schemas.microsoft.com/office/spreadsheetml/2010/11/main" uri="{B97F6D7D-B522-45F9-BDA1-12C45D357490}">
          <x15:cacheHierarchy aggregatedColumn="18"/>
        </ext>
      </extLst>
    </cacheHierarchy>
    <cacheHierarchy uniqueName="[Measures].[Average of Subscribed]" caption="Average of Subscribed" measure="1" displayFolder="" measureGroup="bank-full" count="0" hidden="1">
      <extLst>
        <ext xmlns:x15="http://schemas.microsoft.com/office/spreadsheetml/2010/11/main" uri="{B97F6D7D-B522-45F9-BDA1-12C45D357490}">
          <x15:cacheHierarchy aggregatedColumn="17"/>
        </ext>
      </extLst>
    </cacheHierarchy>
    <cacheHierarchy uniqueName="[Measures].[Sum of previous]" caption="Sum of previous" measure="1" displayFolder="" measureGroup="bank-full" count="0" hidden="1">
      <extLst>
        <ext xmlns:x15="http://schemas.microsoft.com/office/spreadsheetml/2010/11/main" uri="{B97F6D7D-B522-45F9-BDA1-12C45D357490}">
          <x15:cacheHierarchy aggregatedColumn="14"/>
        </ext>
      </extLst>
    </cacheHierarchy>
    <cacheHierarchy uniqueName="[Measures].[Count of contact]" caption="Count of contact" measure="1" displayFolder="" measureGroup="bank-full" count="0" hidden="1">
      <extLst>
        <ext xmlns:x15="http://schemas.microsoft.com/office/spreadsheetml/2010/11/main" uri="{B97F6D7D-B522-45F9-BDA1-12C45D357490}">
          <x15:cacheHierarchy aggregatedColumn="8"/>
        </ext>
      </extLst>
    </cacheHierarchy>
  </cacheHierarchies>
  <kpis count="0"/>
  <dimensions count="2">
    <dimension name="bank-full" uniqueName="[bank-full]" caption="bank-full"/>
    <dimension measure="1" name="Measures" uniqueName="[Measures]" caption="Measures"/>
  </dimensions>
  <measureGroups count="1">
    <measureGroup name="bank-full" caption="bank-full"/>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xioo Pongo" refreshedDate="46135.232394212966" createdVersion="5" refreshedVersion="8" minRefreshableVersion="3" recordCount="0" supportSubquery="1" supportAdvancedDrill="1" xr:uid="{AA825F91-818F-40C3-B76F-CAE05BF5DED3}">
  <cacheSource type="external" connectionId="2"/>
  <cacheFields count="8">
    <cacheField name="[bank-full].[contact].[contact]" caption="contact" numFmtId="0" hierarchy="8" level="1">
      <sharedItems count="2">
        <s v="Cellular"/>
        <s v="Telephone"/>
      </sharedItems>
    </cacheField>
    <cacheField name="[Measures].[Sum of Subscribed]" caption="Sum of Subscribed" numFmtId="0" hierarchy="28" level="32767"/>
    <cacheField name="[Measures].[Sum of Not Subscribed]" caption="Sum of Not Subscribed" numFmtId="0" hierarchy="30" level="32767"/>
    <cacheField name="[Measures].[Count of contact]" caption="Count of contact" numFmtId="0" hierarchy="33" level="32767"/>
    <cacheField name="[bank-full].[loan].[loan]" caption="loan" numFmtId="0" hierarchy="7" level="1">
      <sharedItems containsSemiMixedTypes="0" containsNonDate="0" containsString="0"/>
    </cacheField>
    <cacheField name="[bank-full].[housing].[housing]" caption="housing" numFmtId="0" hierarchy="6" level="1">
      <sharedItems containsSemiMixedTypes="0" containsNonDate="0" containsString="0"/>
    </cacheField>
    <cacheField name="[bank-full].[marital].[marital]" caption="marital" numFmtId="0" hierarchy="2" level="1">
      <sharedItems containsSemiMixedTypes="0" containsNonDate="0" containsString="0"/>
    </cacheField>
    <cacheField name="[bank-full].[education].[education]" caption="education" numFmtId="0" hierarchy="3" level="1">
      <sharedItems containsSemiMixedTypes="0" containsNonDate="0" containsString="0"/>
    </cacheField>
  </cacheFields>
  <cacheHierarchies count="34">
    <cacheHierarchy uniqueName="[bank-full].[age]" caption="age" attribute="1" defaultMemberUniqueName="[bank-full].[age].[All]" allUniqueName="[bank-full].[age].[All]" dimensionUniqueName="[bank-full]" displayFolder="" count="0" memberValueDatatype="20" unbalanced="0"/>
    <cacheHierarchy uniqueName="[bank-full].[job]" caption="job" attribute="1" defaultMemberUniqueName="[bank-full].[job].[All]" allUniqueName="[bank-full].[job].[All]" dimensionUniqueName="[bank-full]" displayFolder="" count="0" memberValueDatatype="130" unbalanced="0"/>
    <cacheHierarchy uniqueName="[bank-full].[marital]" caption="marital" attribute="1" defaultMemberUniqueName="[bank-full].[marital].[All]" allUniqueName="[bank-full].[marital].[All]" dimensionUniqueName="[bank-full]" displayFolder="" count="2" memberValueDatatype="130" unbalanced="0">
      <fieldsUsage count="2">
        <fieldUsage x="-1"/>
        <fieldUsage x="6"/>
      </fieldsUsage>
    </cacheHierarchy>
    <cacheHierarchy uniqueName="[bank-full].[education]" caption="education" attribute="1" defaultMemberUniqueName="[bank-full].[education].[All]" allUniqueName="[bank-full].[education].[All]" dimensionUniqueName="[bank-full]" displayFolder="" count="2" memberValueDatatype="130" unbalanced="0">
      <fieldsUsage count="2">
        <fieldUsage x="-1"/>
        <fieldUsage x="7"/>
      </fieldsUsage>
    </cacheHierarchy>
    <cacheHierarchy uniqueName="[bank-full].[default]" caption="default" attribute="1" defaultMemberUniqueName="[bank-full].[default].[All]" allUniqueName="[bank-full].[default].[All]" dimensionUniqueName="[bank-full]" displayFolder="" count="0" memberValueDatatype="130" unbalanced="0"/>
    <cacheHierarchy uniqueName="[bank-full].[balance]" caption="balance" attribute="1" defaultMemberUniqueName="[bank-full].[balance].[All]" allUniqueName="[bank-full].[balance].[All]" dimensionUniqueName="[bank-full]" displayFolder="" count="0" memberValueDatatype="20" unbalanced="0"/>
    <cacheHierarchy uniqueName="[bank-full].[housing]" caption="housing" attribute="1" defaultMemberUniqueName="[bank-full].[housing].[All]" allUniqueName="[bank-full].[housing].[All]" dimensionUniqueName="[bank-full]" displayFolder="" count="2" memberValueDatatype="130" unbalanced="0">
      <fieldsUsage count="2">
        <fieldUsage x="-1"/>
        <fieldUsage x="5"/>
      </fieldsUsage>
    </cacheHierarchy>
    <cacheHierarchy uniqueName="[bank-full].[loan]" caption="loan" attribute="1" defaultMemberUniqueName="[bank-full].[loan].[All]" allUniqueName="[bank-full].[loan].[All]" dimensionUniqueName="[bank-full]" displayFolder="" count="2" memberValueDatatype="130" unbalanced="0">
      <fieldsUsage count="2">
        <fieldUsage x="-1"/>
        <fieldUsage x="4"/>
      </fieldsUsage>
    </cacheHierarchy>
    <cacheHierarchy uniqueName="[bank-full].[contact]" caption="contact" attribute="1" defaultMemberUniqueName="[bank-full].[contact].[All]" allUniqueName="[bank-full].[contact].[All]" dimensionUniqueName="[bank-full]" displayFolder="" count="2" memberValueDatatype="130" unbalanced="0">
      <fieldsUsage count="2">
        <fieldUsage x="-1"/>
        <fieldUsage x="0"/>
      </fieldsUsage>
    </cacheHierarchy>
    <cacheHierarchy uniqueName="[bank-full].[day]" caption="day" attribute="1" defaultMemberUniqueName="[bank-full].[day].[All]" allUniqueName="[bank-full].[day].[All]" dimensionUniqueName="[bank-full]" displayFolder="" count="0" memberValueDatatype="20" unbalanced="0"/>
    <cacheHierarchy uniqueName="[bank-full].[month]" caption="month" attribute="1" defaultMemberUniqueName="[bank-full].[month].[All]" allUniqueName="[bank-full].[month].[All]" dimensionUniqueName="[bank-full]" displayFolder="" count="0" memberValueDatatype="130" unbalanced="0"/>
    <cacheHierarchy uniqueName="[bank-full].[duration]" caption="duration" attribute="1" defaultMemberUniqueName="[bank-full].[duration].[All]" allUniqueName="[bank-full].[duration].[All]" dimensionUniqueName="[bank-full]" displayFolder="" count="0" memberValueDatatype="20" unbalanced="0"/>
    <cacheHierarchy uniqueName="[bank-full].[campaign]" caption="campaign" attribute="1" defaultMemberUniqueName="[bank-full].[campaign].[All]" allUniqueName="[bank-full].[campaign].[All]" dimensionUniqueName="[bank-full]" displayFolder="" count="0" memberValueDatatype="20" unbalanced="0"/>
    <cacheHierarchy uniqueName="[bank-full].[pdays]" caption="pdays" attribute="1" defaultMemberUniqueName="[bank-full].[pdays].[All]" allUniqueName="[bank-full].[pdays].[All]" dimensionUniqueName="[bank-full]" displayFolder="" count="0" memberValueDatatype="20" unbalanced="0"/>
    <cacheHierarchy uniqueName="[bank-full].[previous]" caption="previous" attribute="1" defaultMemberUniqueName="[bank-full].[previous].[All]" allUniqueName="[bank-full].[previous].[All]" dimensionUniqueName="[bank-full]" displayFolder="" count="0" memberValueDatatype="20" unbalanced="0"/>
    <cacheHierarchy uniqueName="[bank-full].[poutcome]" caption="poutcome" attribute="1" defaultMemberUniqueName="[bank-full].[poutcome].[All]" allUniqueName="[bank-full].[poutcome].[All]" dimensionUniqueName="[bank-full]" displayFolder="" count="0" memberValueDatatype="130" unbalanced="0"/>
    <cacheHierarchy uniqueName="[bank-full].[y]" caption="y" attribute="1" defaultMemberUniqueName="[bank-full].[y].[All]" allUniqueName="[bank-full].[y].[All]" dimensionUniqueName="[bank-full]" displayFolder="" count="0" memberValueDatatype="130" unbalanced="0"/>
    <cacheHierarchy uniqueName="[bank-full].[Subscribed]" caption="Subscribed" attribute="1" defaultMemberUniqueName="[bank-full].[Subscribed].[All]" allUniqueName="[bank-full].[Subscribed].[All]" dimensionUniqueName="[bank-full]" displayFolder="" count="0" memberValueDatatype="20" unbalanced="0"/>
    <cacheHierarchy uniqueName="[bank-full].[Not Subscribed]" caption="Not Subscribed" attribute="1" defaultMemberUniqueName="[bank-full].[Not Subscribed].[All]" allUniqueName="[bank-full].[Not Subscribed].[All]" dimensionUniqueName="[bank-full]" displayFolder="" count="0" memberValueDatatype="20" unbalanced="0"/>
    <cacheHierarchy uniqueName="[bank-full].[Age Group]" caption="Age Group" attribute="1" defaultMemberUniqueName="[bank-full].[Age Group].[All]" allUniqueName="[bank-full].[Age Group].[All]" dimensionUniqueName="[bank-full]" displayFolder="" count="0" memberValueDatatype="130" unbalanced="0"/>
    <cacheHierarchy uniqueName="[bank-full].[Balance Tier]" caption="Balance Tier" attribute="1" defaultMemberUniqueName="[bank-full].[Balance Tier].[All]" allUniqueName="[bank-full].[Balance Tier].[All]" dimensionUniqueName="[bank-full]" displayFolder="" count="0" memberValueDatatype="130" unbalanced="0"/>
    <cacheHierarchy uniqueName="[Measures].[Total Contacts]" caption="Total Contacts" measure="1" displayFolder="" measureGroup="bank-full" count="0"/>
    <cacheHierarchy uniqueName="[Measures].[Total Subscriptions]" caption="Total Subscriptions" measure="1" displayFolder="" measureGroup="bank-full" count="0"/>
    <cacheHierarchy uniqueName="[Measures].[AVG Call Durations]" caption="AVG Call Durations" measure="1" displayFolder="" measureGroup="bank-full" count="0"/>
    <cacheHierarchy uniqueName="[Measures].[AVG Contacts/Client]" caption="AVG Contacts/Client" measure="1" displayFolder="" measureGroup="bank-full" count="0"/>
    <cacheHierarchy uniqueName="[Measures].[__XL_Count bank-full]" caption="__XL_Count bank-full" measure="1" displayFolder="" measureGroup="bank-full" count="0" hidden="1"/>
    <cacheHierarchy uniqueName="[Measures].[__No measures defined]" caption="__No measures defined" measure="1" displayFolder="" count="0" hidden="1"/>
    <cacheHierarchy uniqueName="[Measures].[Count of y]" caption="Count of y" measure="1" displayFolder="" measureGroup="bank-full" count="0" hidden="1">
      <extLst>
        <ext xmlns:x15="http://schemas.microsoft.com/office/spreadsheetml/2010/11/main" uri="{B97F6D7D-B522-45F9-BDA1-12C45D357490}">
          <x15:cacheHierarchy aggregatedColumn="16"/>
        </ext>
      </extLst>
    </cacheHierarchy>
    <cacheHierarchy uniqueName="[Measures].[Sum of Subscribed]" caption="Sum of Subscribed" measure="1" displayFolder="" measureGroup="bank-full"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Subscribed]" caption="Count of Subscribed" measure="1" displayFolder="" measureGroup="bank-full" count="0" hidden="1">
      <extLst>
        <ext xmlns:x15="http://schemas.microsoft.com/office/spreadsheetml/2010/11/main" uri="{B97F6D7D-B522-45F9-BDA1-12C45D357490}">
          <x15:cacheHierarchy aggregatedColumn="17"/>
        </ext>
      </extLst>
    </cacheHierarchy>
    <cacheHierarchy uniqueName="[Measures].[Sum of Not Subscribed]" caption="Sum of Not Subscribed" measure="1" displayFolder="" measureGroup="bank-full" count="0" oneField="1" hidden="1">
      <fieldsUsage count="1">
        <fieldUsage x="2"/>
      </fieldsUsage>
      <extLst>
        <ext xmlns:x15="http://schemas.microsoft.com/office/spreadsheetml/2010/11/main" uri="{B97F6D7D-B522-45F9-BDA1-12C45D357490}">
          <x15:cacheHierarchy aggregatedColumn="18"/>
        </ext>
      </extLst>
    </cacheHierarchy>
    <cacheHierarchy uniqueName="[Measures].[Average of Subscribed]" caption="Average of Subscribed" measure="1" displayFolder="" measureGroup="bank-full" count="0" hidden="1">
      <extLst>
        <ext xmlns:x15="http://schemas.microsoft.com/office/spreadsheetml/2010/11/main" uri="{B97F6D7D-B522-45F9-BDA1-12C45D357490}">
          <x15:cacheHierarchy aggregatedColumn="17"/>
        </ext>
      </extLst>
    </cacheHierarchy>
    <cacheHierarchy uniqueName="[Measures].[Sum of previous]" caption="Sum of previous" measure="1" displayFolder="" measureGroup="bank-full" count="0" hidden="1">
      <extLst>
        <ext xmlns:x15="http://schemas.microsoft.com/office/spreadsheetml/2010/11/main" uri="{B97F6D7D-B522-45F9-BDA1-12C45D357490}">
          <x15:cacheHierarchy aggregatedColumn="14"/>
        </ext>
      </extLst>
    </cacheHierarchy>
    <cacheHierarchy uniqueName="[Measures].[Count of contact]" caption="Count of contact" measure="1" displayFolder="" measureGroup="bank-full" count="0" oneField="1" hidden="1">
      <fieldsUsage count="1">
        <fieldUsage x="3"/>
      </fieldsUsage>
      <extLst>
        <ext xmlns:x15="http://schemas.microsoft.com/office/spreadsheetml/2010/11/main" uri="{B97F6D7D-B522-45F9-BDA1-12C45D357490}">
          <x15:cacheHierarchy aggregatedColumn="8"/>
        </ext>
      </extLst>
    </cacheHierarchy>
  </cacheHierarchies>
  <kpis count="0"/>
  <dimensions count="2">
    <dimension name="bank-full" uniqueName="[bank-full]" caption="bank-full"/>
    <dimension measure="1" name="Measures" uniqueName="[Measures]" caption="Measures"/>
  </dimensions>
  <measureGroups count="1">
    <measureGroup name="bank-full" caption="bank-full"/>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xioo Pongo" refreshedDate="46135.232395949075" createdVersion="5" refreshedVersion="8" minRefreshableVersion="3" recordCount="0" supportSubquery="1" supportAdvancedDrill="1" xr:uid="{981BF386-DB32-47A2-8E1C-B02D54D94A11}">
  <cacheSource type="external" connectionId="2"/>
  <cacheFields count="7">
    <cacheField name="[bank-full].[contact].[contact]" caption="contact" numFmtId="0" hierarchy="8" level="1">
      <sharedItems count="3">
        <s v="cellular"/>
        <s v="telephone"/>
        <s v="unknown"/>
      </sharedItems>
    </cacheField>
    <cacheField name="[bank-full].[job].[job]" caption="job" numFmtId="0" hierarchy="1" level="1">
      <sharedItems count="5">
        <s v="Admin."/>
        <s v="Blue-Collar"/>
        <s v="Management"/>
        <s v="Retired"/>
        <s v="Technician"/>
      </sharedItems>
    </cacheField>
    <cacheField name="[Measures].[Sum of Subscribed]" caption="Sum of Subscribed" numFmtId="0" hierarchy="28" level="32767"/>
    <cacheField name="[bank-full].[housing].[housing]" caption="housing" numFmtId="0" hierarchy="6" level="1">
      <sharedItems containsSemiMixedTypes="0" containsNonDate="0" containsString="0"/>
    </cacheField>
    <cacheField name="[bank-full].[loan].[loan]" caption="loan" numFmtId="0" hierarchy="7" level="1">
      <sharedItems containsSemiMixedTypes="0" containsNonDate="0" containsString="0"/>
    </cacheField>
    <cacheField name="[bank-full].[marital].[marital]" caption="marital" numFmtId="0" hierarchy="2" level="1">
      <sharedItems containsSemiMixedTypes="0" containsNonDate="0" containsString="0"/>
    </cacheField>
    <cacheField name="[bank-full].[education].[education]" caption="education" numFmtId="0" hierarchy="3" level="1">
      <sharedItems containsSemiMixedTypes="0" containsNonDate="0" containsString="0"/>
    </cacheField>
  </cacheFields>
  <cacheHierarchies count="34">
    <cacheHierarchy uniqueName="[bank-full].[age]" caption="age" attribute="1" defaultMemberUniqueName="[bank-full].[age].[All]" allUniqueName="[bank-full].[age].[All]" dimensionUniqueName="[bank-full]" displayFolder="" count="0" memberValueDatatype="20" unbalanced="0"/>
    <cacheHierarchy uniqueName="[bank-full].[job]" caption="job" attribute="1" defaultMemberUniqueName="[bank-full].[job].[All]" allUniqueName="[bank-full].[job].[All]" dimensionUniqueName="[bank-full]" displayFolder="" count="2" memberValueDatatype="130" unbalanced="0">
      <fieldsUsage count="2">
        <fieldUsage x="-1"/>
        <fieldUsage x="1"/>
      </fieldsUsage>
    </cacheHierarchy>
    <cacheHierarchy uniqueName="[bank-full].[marital]" caption="marital" attribute="1" defaultMemberUniqueName="[bank-full].[marital].[All]" allUniqueName="[bank-full].[marital].[All]" dimensionUniqueName="[bank-full]" displayFolder="" count="2" memberValueDatatype="130" unbalanced="0">
      <fieldsUsage count="2">
        <fieldUsage x="-1"/>
        <fieldUsage x="5"/>
      </fieldsUsage>
    </cacheHierarchy>
    <cacheHierarchy uniqueName="[bank-full].[education]" caption="education" attribute="1" defaultMemberUniqueName="[bank-full].[education].[All]" allUniqueName="[bank-full].[education].[All]" dimensionUniqueName="[bank-full]" displayFolder="" count="2" memberValueDatatype="130" unbalanced="0">
      <fieldsUsage count="2">
        <fieldUsage x="-1"/>
        <fieldUsage x="6"/>
      </fieldsUsage>
    </cacheHierarchy>
    <cacheHierarchy uniqueName="[bank-full].[default]" caption="default" attribute="1" defaultMemberUniqueName="[bank-full].[default].[All]" allUniqueName="[bank-full].[default].[All]" dimensionUniqueName="[bank-full]" displayFolder="" count="0" memberValueDatatype="130" unbalanced="0"/>
    <cacheHierarchy uniqueName="[bank-full].[balance]" caption="balance" attribute="1" defaultMemberUniqueName="[bank-full].[balance].[All]" allUniqueName="[bank-full].[balance].[All]" dimensionUniqueName="[bank-full]" displayFolder="" count="0" memberValueDatatype="20" unbalanced="0"/>
    <cacheHierarchy uniqueName="[bank-full].[housing]" caption="housing" attribute="1" defaultMemberUniqueName="[bank-full].[housing].[All]" allUniqueName="[bank-full].[housing].[All]" dimensionUniqueName="[bank-full]" displayFolder="" count="2" memberValueDatatype="130" unbalanced="0">
      <fieldsUsage count="2">
        <fieldUsage x="-1"/>
        <fieldUsage x="3"/>
      </fieldsUsage>
    </cacheHierarchy>
    <cacheHierarchy uniqueName="[bank-full].[loan]" caption="loan" attribute="1" defaultMemberUniqueName="[bank-full].[loan].[All]" allUniqueName="[bank-full].[loan].[All]" dimensionUniqueName="[bank-full]" displayFolder="" count="2" memberValueDatatype="130" unbalanced="0">
      <fieldsUsage count="2">
        <fieldUsage x="-1"/>
        <fieldUsage x="4"/>
      </fieldsUsage>
    </cacheHierarchy>
    <cacheHierarchy uniqueName="[bank-full].[contact]" caption="contact" attribute="1" defaultMemberUniqueName="[bank-full].[contact].[All]" allUniqueName="[bank-full].[contact].[All]" dimensionUniqueName="[bank-full]" displayFolder="" count="2" memberValueDatatype="130" unbalanced="0">
      <fieldsUsage count="2">
        <fieldUsage x="-1"/>
        <fieldUsage x="0"/>
      </fieldsUsage>
    </cacheHierarchy>
    <cacheHierarchy uniqueName="[bank-full].[day]" caption="day" attribute="1" defaultMemberUniqueName="[bank-full].[day].[All]" allUniqueName="[bank-full].[day].[All]" dimensionUniqueName="[bank-full]" displayFolder="" count="0" memberValueDatatype="20" unbalanced="0"/>
    <cacheHierarchy uniqueName="[bank-full].[month]" caption="month" attribute="1" defaultMemberUniqueName="[bank-full].[month].[All]" allUniqueName="[bank-full].[month].[All]" dimensionUniqueName="[bank-full]" displayFolder="" count="0" memberValueDatatype="130" unbalanced="0"/>
    <cacheHierarchy uniqueName="[bank-full].[duration]" caption="duration" attribute="1" defaultMemberUniqueName="[bank-full].[duration].[All]" allUniqueName="[bank-full].[duration].[All]" dimensionUniqueName="[bank-full]" displayFolder="" count="0" memberValueDatatype="20" unbalanced="0"/>
    <cacheHierarchy uniqueName="[bank-full].[campaign]" caption="campaign" attribute="1" defaultMemberUniqueName="[bank-full].[campaign].[All]" allUniqueName="[bank-full].[campaign].[All]" dimensionUniqueName="[bank-full]" displayFolder="" count="0" memberValueDatatype="20" unbalanced="0"/>
    <cacheHierarchy uniqueName="[bank-full].[pdays]" caption="pdays" attribute="1" defaultMemberUniqueName="[bank-full].[pdays].[All]" allUniqueName="[bank-full].[pdays].[All]" dimensionUniqueName="[bank-full]" displayFolder="" count="0" memberValueDatatype="20" unbalanced="0"/>
    <cacheHierarchy uniqueName="[bank-full].[previous]" caption="previous" attribute="1" defaultMemberUniqueName="[bank-full].[previous].[All]" allUniqueName="[bank-full].[previous].[All]" dimensionUniqueName="[bank-full]" displayFolder="" count="0" memberValueDatatype="20" unbalanced="0"/>
    <cacheHierarchy uniqueName="[bank-full].[poutcome]" caption="poutcome" attribute="1" defaultMemberUniqueName="[bank-full].[poutcome].[All]" allUniqueName="[bank-full].[poutcome].[All]" dimensionUniqueName="[bank-full]" displayFolder="" count="0" memberValueDatatype="130" unbalanced="0"/>
    <cacheHierarchy uniqueName="[bank-full].[y]" caption="y" attribute="1" defaultMemberUniqueName="[bank-full].[y].[All]" allUniqueName="[bank-full].[y].[All]" dimensionUniqueName="[bank-full]" displayFolder="" count="0" memberValueDatatype="130" unbalanced="0"/>
    <cacheHierarchy uniqueName="[bank-full].[Subscribed]" caption="Subscribed" attribute="1" defaultMemberUniqueName="[bank-full].[Subscribed].[All]" allUniqueName="[bank-full].[Subscribed].[All]" dimensionUniqueName="[bank-full]" displayFolder="" count="0" memberValueDatatype="20" unbalanced="0"/>
    <cacheHierarchy uniqueName="[bank-full].[Not Subscribed]" caption="Not Subscribed" attribute="1" defaultMemberUniqueName="[bank-full].[Not Subscribed].[All]" allUniqueName="[bank-full].[Not Subscribed].[All]" dimensionUniqueName="[bank-full]" displayFolder="" count="0" memberValueDatatype="20" unbalanced="0"/>
    <cacheHierarchy uniqueName="[bank-full].[Age Group]" caption="Age Group" attribute="1" defaultMemberUniqueName="[bank-full].[Age Group].[All]" allUniqueName="[bank-full].[Age Group].[All]" dimensionUniqueName="[bank-full]" displayFolder="" count="0" memberValueDatatype="130" unbalanced="0"/>
    <cacheHierarchy uniqueName="[bank-full].[Balance Tier]" caption="Balance Tier" attribute="1" defaultMemberUniqueName="[bank-full].[Balance Tier].[All]" allUniqueName="[bank-full].[Balance Tier].[All]" dimensionUniqueName="[bank-full]" displayFolder="" count="0" memberValueDatatype="130" unbalanced="0"/>
    <cacheHierarchy uniqueName="[Measures].[Total Contacts]" caption="Total Contacts" measure="1" displayFolder="" measureGroup="bank-full" count="0"/>
    <cacheHierarchy uniqueName="[Measures].[Total Subscriptions]" caption="Total Subscriptions" measure="1" displayFolder="" measureGroup="bank-full" count="0"/>
    <cacheHierarchy uniqueName="[Measures].[AVG Call Durations]" caption="AVG Call Durations" measure="1" displayFolder="" measureGroup="bank-full" count="0"/>
    <cacheHierarchy uniqueName="[Measures].[AVG Contacts/Client]" caption="AVG Contacts/Client" measure="1" displayFolder="" measureGroup="bank-full" count="0"/>
    <cacheHierarchy uniqueName="[Measures].[__XL_Count bank-full]" caption="__XL_Count bank-full" measure="1" displayFolder="" measureGroup="bank-full" count="0" hidden="1"/>
    <cacheHierarchy uniqueName="[Measures].[__No measures defined]" caption="__No measures defined" measure="1" displayFolder="" count="0" hidden="1"/>
    <cacheHierarchy uniqueName="[Measures].[Count of y]" caption="Count of y" measure="1" displayFolder="" measureGroup="bank-full" count="0" hidden="1">
      <extLst>
        <ext xmlns:x15="http://schemas.microsoft.com/office/spreadsheetml/2010/11/main" uri="{B97F6D7D-B522-45F9-BDA1-12C45D357490}">
          <x15:cacheHierarchy aggregatedColumn="16"/>
        </ext>
      </extLst>
    </cacheHierarchy>
    <cacheHierarchy uniqueName="[Measures].[Sum of Subscribed]" caption="Sum of Subscribed" measure="1" displayFolder="" measureGroup="bank-full"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Subscribed]" caption="Count of Subscribed" measure="1" displayFolder="" measureGroup="bank-full" count="0" hidden="1">
      <extLst>
        <ext xmlns:x15="http://schemas.microsoft.com/office/spreadsheetml/2010/11/main" uri="{B97F6D7D-B522-45F9-BDA1-12C45D357490}">
          <x15:cacheHierarchy aggregatedColumn="17"/>
        </ext>
      </extLst>
    </cacheHierarchy>
    <cacheHierarchy uniqueName="[Measures].[Sum of Not Subscribed]" caption="Sum of Not Subscribed" measure="1" displayFolder="" measureGroup="bank-full" count="0" hidden="1">
      <extLst>
        <ext xmlns:x15="http://schemas.microsoft.com/office/spreadsheetml/2010/11/main" uri="{B97F6D7D-B522-45F9-BDA1-12C45D357490}">
          <x15:cacheHierarchy aggregatedColumn="18"/>
        </ext>
      </extLst>
    </cacheHierarchy>
    <cacheHierarchy uniqueName="[Measures].[Average of Subscribed]" caption="Average of Subscribed" measure="1" displayFolder="" measureGroup="bank-full" count="0" hidden="1">
      <extLst>
        <ext xmlns:x15="http://schemas.microsoft.com/office/spreadsheetml/2010/11/main" uri="{B97F6D7D-B522-45F9-BDA1-12C45D357490}">
          <x15:cacheHierarchy aggregatedColumn="17"/>
        </ext>
      </extLst>
    </cacheHierarchy>
    <cacheHierarchy uniqueName="[Measures].[Sum of previous]" caption="Sum of previous" measure="1" displayFolder="" measureGroup="bank-full" count="0" hidden="1">
      <extLst>
        <ext xmlns:x15="http://schemas.microsoft.com/office/spreadsheetml/2010/11/main" uri="{B97F6D7D-B522-45F9-BDA1-12C45D357490}">
          <x15:cacheHierarchy aggregatedColumn="14"/>
        </ext>
      </extLst>
    </cacheHierarchy>
    <cacheHierarchy uniqueName="[Measures].[Count of contact]" caption="Count of contact" measure="1" displayFolder="" measureGroup="bank-full" count="0" hidden="1">
      <extLst>
        <ext xmlns:x15="http://schemas.microsoft.com/office/spreadsheetml/2010/11/main" uri="{B97F6D7D-B522-45F9-BDA1-12C45D357490}">
          <x15:cacheHierarchy aggregatedColumn="8"/>
        </ext>
      </extLst>
    </cacheHierarchy>
  </cacheHierarchies>
  <kpis count="0"/>
  <dimensions count="2">
    <dimension name="bank-full" uniqueName="[bank-full]" caption="bank-full"/>
    <dimension measure="1" name="Measures" uniqueName="[Measures]" caption="Measures"/>
  </dimensions>
  <measureGroups count="1">
    <measureGroup name="bank-full" caption="bank-full"/>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xioo Pongo" refreshedDate="46135.232397569445" createdVersion="5" refreshedVersion="8" minRefreshableVersion="3" recordCount="0" supportSubquery="1" supportAdvancedDrill="1" xr:uid="{C70FD378-BC11-4BA6-848E-DE8980CE6544}">
  <cacheSource type="external" connectionId="2"/>
  <cacheFields count="9">
    <cacheField name="[bank-full].[contact].[contact]" caption="contact" numFmtId="0" hierarchy="8" level="1">
      <sharedItems count="3">
        <s v="Cellular"/>
        <s v="Telephone"/>
        <s v="Unknown"/>
      </sharedItems>
    </cacheField>
    <cacheField name="[bank-full].[job].[job]" caption="job" numFmtId="0" hierarchy="1" level="1">
      <sharedItems count="12">
        <s v="Admin."/>
        <s v="Blue-Collar"/>
        <s v="Entrepreneur"/>
        <s v="Housemaid"/>
        <s v="Management"/>
        <s v="Retired"/>
        <s v="Self-Employed"/>
        <s v="Services"/>
        <s v="Student"/>
        <s v="Technician"/>
        <s v="Unemployed"/>
        <s v="Unknown"/>
      </sharedItems>
    </cacheField>
    <cacheField name="[Measures].[Sum of Subscribed]" caption="Sum of Subscribed" numFmtId="0" hierarchy="28" level="32767"/>
    <cacheField name="[bank-full].[campaign].[campaign]" caption="campaign" numFmtId="0" hierarchy="12" level="1">
      <sharedItems containsSemiMixedTypes="0" containsString="0" containsNumber="1" containsInteger="1" minValue="1" maxValue="6" count="6">
        <n v="1"/>
        <n v="2"/>
        <n v="3"/>
        <n v="4"/>
        <n v="5"/>
        <n v="6"/>
      </sharedItems>
      <extLst>
        <ext xmlns:x15="http://schemas.microsoft.com/office/spreadsheetml/2010/11/main" uri="{4F2E5C28-24EA-4eb8-9CBF-B6C8F9C3D259}">
          <x15:cachedUniqueNames>
            <x15:cachedUniqueName index="0" name="[bank-full].[campaign].&amp;[1]"/>
            <x15:cachedUniqueName index="1" name="[bank-full].[campaign].&amp;[2]"/>
            <x15:cachedUniqueName index="2" name="[bank-full].[campaign].&amp;[3]"/>
            <x15:cachedUniqueName index="3" name="[bank-full].[campaign].&amp;[4]"/>
            <x15:cachedUniqueName index="4" name="[bank-full].[campaign].&amp;[5]"/>
            <x15:cachedUniqueName index="5" name="[bank-full].[campaign].&amp;[6]"/>
          </x15:cachedUniqueNames>
        </ext>
      </extLst>
    </cacheField>
    <cacheField name="[bank-full].[loan].[loan]" caption="loan" numFmtId="0" hierarchy="7" level="1">
      <sharedItems containsSemiMixedTypes="0" containsNonDate="0" containsString="0"/>
    </cacheField>
    <cacheField name="[bank-full].[housing].[housing]" caption="housing" numFmtId="0" hierarchy="6" level="1">
      <sharedItems containsSemiMixedTypes="0" containsNonDate="0" containsString="0"/>
    </cacheField>
    <cacheField name="[bank-full].[marital].[marital]" caption="marital" numFmtId="0" hierarchy="2" level="1">
      <sharedItems containsSemiMixedTypes="0" containsNonDate="0" containsString="0"/>
    </cacheField>
    <cacheField name="[bank-full].[education].[education]" caption="education" numFmtId="0" hierarchy="3" level="1">
      <sharedItems containsSemiMixedTypes="0" containsNonDate="0" containsString="0"/>
    </cacheField>
    <cacheField name="Unsupported0" numFmtId="0" hierarchy="34" level="32767">
      <extLst>
        <ext xmlns:x14="http://schemas.microsoft.com/office/spreadsheetml/2009/9/main" uri="{63CAB8AC-B538-458d-9737-405883B0398D}">
          <x14:cacheField ignore="1"/>
        </ext>
      </extLst>
    </cacheField>
  </cacheFields>
  <cacheHierarchies count="35">
    <cacheHierarchy uniqueName="[bank-full].[age]" caption="age" attribute="1" defaultMemberUniqueName="[bank-full].[age].[All]" allUniqueName="[bank-full].[age].[All]" dimensionUniqueName="[bank-full]" displayFolder="" count="0" memberValueDatatype="20" unbalanced="0"/>
    <cacheHierarchy uniqueName="[bank-full].[job]" caption="job" attribute="1" defaultMemberUniqueName="[bank-full].[job].[All]" allUniqueName="[bank-full].[job].[All]" dimensionUniqueName="[bank-full]" displayFolder="" count="2" memberValueDatatype="130" unbalanced="0">
      <fieldsUsage count="2">
        <fieldUsage x="-1"/>
        <fieldUsage x="1"/>
      </fieldsUsage>
    </cacheHierarchy>
    <cacheHierarchy uniqueName="[bank-full].[marital]" caption="marital" attribute="1" defaultMemberUniqueName="[bank-full].[marital].[All]" allUniqueName="[bank-full].[marital].[All]" dimensionUniqueName="[bank-full]" displayFolder="" count="2" memberValueDatatype="130" unbalanced="0">
      <fieldsUsage count="2">
        <fieldUsage x="-1"/>
        <fieldUsage x="6"/>
      </fieldsUsage>
    </cacheHierarchy>
    <cacheHierarchy uniqueName="[bank-full].[education]" caption="education" attribute="1" defaultMemberUniqueName="[bank-full].[education].[All]" allUniqueName="[bank-full].[education].[All]" dimensionUniqueName="[bank-full]" displayFolder="" count="2" memberValueDatatype="130" unbalanced="0">
      <fieldsUsage count="2">
        <fieldUsage x="-1"/>
        <fieldUsage x="7"/>
      </fieldsUsage>
    </cacheHierarchy>
    <cacheHierarchy uniqueName="[bank-full].[default]" caption="default" attribute="1" defaultMemberUniqueName="[bank-full].[default].[All]" allUniqueName="[bank-full].[default].[All]" dimensionUniqueName="[bank-full]" displayFolder="" count="0" memberValueDatatype="130" unbalanced="0"/>
    <cacheHierarchy uniqueName="[bank-full].[balance]" caption="balance" attribute="1" defaultMemberUniqueName="[bank-full].[balance].[All]" allUniqueName="[bank-full].[balance].[All]" dimensionUniqueName="[bank-full]" displayFolder="" count="0" memberValueDatatype="20" unbalanced="0"/>
    <cacheHierarchy uniqueName="[bank-full].[housing]" caption="housing" attribute="1" defaultMemberUniqueName="[bank-full].[housing].[All]" allUniqueName="[bank-full].[housing].[All]" dimensionUniqueName="[bank-full]" displayFolder="" count="2" memberValueDatatype="130" unbalanced="0">
      <fieldsUsage count="2">
        <fieldUsage x="-1"/>
        <fieldUsage x="5"/>
      </fieldsUsage>
    </cacheHierarchy>
    <cacheHierarchy uniqueName="[bank-full].[loan]" caption="loan" attribute="1" defaultMemberUniqueName="[bank-full].[loan].[All]" allUniqueName="[bank-full].[loan].[All]" dimensionUniqueName="[bank-full]" displayFolder="" count="2" memberValueDatatype="130" unbalanced="0">
      <fieldsUsage count="2">
        <fieldUsage x="-1"/>
        <fieldUsage x="4"/>
      </fieldsUsage>
    </cacheHierarchy>
    <cacheHierarchy uniqueName="[bank-full].[contact]" caption="contact" attribute="1" defaultMemberUniqueName="[bank-full].[contact].[All]" allUniqueName="[bank-full].[contact].[All]" dimensionUniqueName="[bank-full]" displayFolder="" count="2" memberValueDatatype="130" unbalanced="0">
      <fieldsUsage count="2">
        <fieldUsage x="-1"/>
        <fieldUsage x="0"/>
      </fieldsUsage>
    </cacheHierarchy>
    <cacheHierarchy uniqueName="[bank-full].[day]" caption="day" attribute="1" defaultMemberUniqueName="[bank-full].[day].[All]" allUniqueName="[bank-full].[day].[All]" dimensionUniqueName="[bank-full]" displayFolder="" count="0" memberValueDatatype="20" unbalanced="0"/>
    <cacheHierarchy uniqueName="[bank-full].[month]" caption="month" attribute="1" defaultMemberUniqueName="[bank-full].[month].[All]" allUniqueName="[bank-full].[month].[All]" dimensionUniqueName="[bank-full]" displayFolder="" count="0" memberValueDatatype="130" unbalanced="0"/>
    <cacheHierarchy uniqueName="[bank-full].[duration]" caption="duration" attribute="1" defaultMemberUniqueName="[bank-full].[duration].[All]" allUniqueName="[bank-full].[duration].[All]" dimensionUniqueName="[bank-full]" displayFolder="" count="0" memberValueDatatype="20" unbalanced="0"/>
    <cacheHierarchy uniqueName="[bank-full].[campaign]" caption="campaign" attribute="1" defaultMemberUniqueName="[bank-full].[campaign].[All]" allUniqueName="[bank-full].[campaign].[All]" dimensionUniqueName="[bank-full]" displayFolder="" count="2" memberValueDatatype="20" unbalanced="0">
      <fieldsUsage count="2">
        <fieldUsage x="-1"/>
        <fieldUsage x="3"/>
      </fieldsUsage>
    </cacheHierarchy>
    <cacheHierarchy uniqueName="[bank-full].[pdays]" caption="pdays" attribute="1" defaultMemberUniqueName="[bank-full].[pdays].[All]" allUniqueName="[bank-full].[pdays].[All]" dimensionUniqueName="[bank-full]" displayFolder="" count="0" memberValueDatatype="20" unbalanced="0"/>
    <cacheHierarchy uniqueName="[bank-full].[previous]" caption="previous" attribute="1" defaultMemberUniqueName="[bank-full].[previous].[All]" allUniqueName="[bank-full].[previous].[All]" dimensionUniqueName="[bank-full]" displayFolder="" count="0" memberValueDatatype="20" unbalanced="0"/>
    <cacheHierarchy uniqueName="[bank-full].[poutcome]" caption="poutcome" attribute="1" defaultMemberUniqueName="[bank-full].[poutcome].[All]" allUniqueName="[bank-full].[poutcome].[All]" dimensionUniqueName="[bank-full]" displayFolder="" count="0" memberValueDatatype="130" unbalanced="0"/>
    <cacheHierarchy uniqueName="[bank-full].[y]" caption="y" attribute="1" defaultMemberUniqueName="[bank-full].[y].[All]" allUniqueName="[bank-full].[y].[All]" dimensionUniqueName="[bank-full]" displayFolder="" count="0" memberValueDatatype="130" unbalanced="0"/>
    <cacheHierarchy uniqueName="[bank-full].[Subscribed]" caption="Subscribed" attribute="1" defaultMemberUniqueName="[bank-full].[Subscribed].[All]" allUniqueName="[bank-full].[Subscribed].[All]" dimensionUniqueName="[bank-full]" displayFolder="" count="0" memberValueDatatype="20" unbalanced="0"/>
    <cacheHierarchy uniqueName="[bank-full].[Not Subscribed]" caption="Not Subscribed" attribute="1" defaultMemberUniqueName="[bank-full].[Not Subscribed].[All]" allUniqueName="[bank-full].[Not Subscribed].[All]" dimensionUniqueName="[bank-full]" displayFolder="" count="0" memberValueDatatype="20" unbalanced="0"/>
    <cacheHierarchy uniqueName="[bank-full].[Age Group]" caption="Age Group" attribute="1" defaultMemberUniqueName="[bank-full].[Age Group].[All]" allUniqueName="[bank-full].[Age Group].[All]" dimensionUniqueName="[bank-full]" displayFolder="" count="0" memberValueDatatype="130" unbalanced="0"/>
    <cacheHierarchy uniqueName="[bank-full].[Balance Tier]" caption="Balance Tier" attribute="1" defaultMemberUniqueName="[bank-full].[Balance Tier].[All]" allUniqueName="[bank-full].[Balance Tier].[All]" dimensionUniqueName="[bank-full]" displayFolder="" count="0" memberValueDatatype="130" unbalanced="0"/>
    <cacheHierarchy uniqueName="[Measures].[Total Contacts]" caption="Total Contacts" measure="1" displayFolder="" measureGroup="bank-full" count="0"/>
    <cacheHierarchy uniqueName="[Measures].[Total Subscriptions]" caption="Total Subscriptions" measure="1" displayFolder="" measureGroup="bank-full" count="0"/>
    <cacheHierarchy uniqueName="[Measures].[AVG Call Durations]" caption="AVG Call Durations" measure="1" displayFolder="" measureGroup="bank-full" count="0"/>
    <cacheHierarchy uniqueName="[Measures].[AVG Contacts/Client]" caption="AVG Contacts/Client" measure="1" displayFolder="" measureGroup="bank-full" count="0"/>
    <cacheHierarchy uniqueName="[Measures].[__XL_Count bank-full]" caption="__XL_Count bank-full" measure="1" displayFolder="" measureGroup="bank-full" count="0" hidden="1"/>
    <cacheHierarchy uniqueName="[Measures].[__No measures defined]" caption="__No measures defined" measure="1" displayFolder="" count="0" hidden="1"/>
    <cacheHierarchy uniqueName="[Measures].[Count of y]" caption="Count of y" measure="1" displayFolder="" measureGroup="bank-full" count="0" hidden="1">
      <extLst>
        <ext xmlns:x15="http://schemas.microsoft.com/office/spreadsheetml/2010/11/main" uri="{B97F6D7D-B522-45F9-BDA1-12C45D357490}">
          <x15:cacheHierarchy aggregatedColumn="16"/>
        </ext>
      </extLst>
    </cacheHierarchy>
    <cacheHierarchy uniqueName="[Measures].[Sum of Subscribed]" caption="Sum of Subscribed" measure="1" displayFolder="" measureGroup="bank-full"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Subscribed]" caption="Count of Subscribed" measure="1" displayFolder="" measureGroup="bank-full" count="0" hidden="1">
      <extLst>
        <ext xmlns:x15="http://schemas.microsoft.com/office/spreadsheetml/2010/11/main" uri="{B97F6D7D-B522-45F9-BDA1-12C45D357490}">
          <x15:cacheHierarchy aggregatedColumn="17"/>
        </ext>
      </extLst>
    </cacheHierarchy>
    <cacheHierarchy uniqueName="[Measures].[Sum of Not Subscribed]" caption="Sum of Not Subscribed" measure="1" displayFolder="" measureGroup="bank-full" count="0" hidden="1">
      <extLst>
        <ext xmlns:x15="http://schemas.microsoft.com/office/spreadsheetml/2010/11/main" uri="{B97F6D7D-B522-45F9-BDA1-12C45D357490}">
          <x15:cacheHierarchy aggregatedColumn="18"/>
        </ext>
      </extLst>
    </cacheHierarchy>
    <cacheHierarchy uniqueName="[Measures].[Average of Subscribed]" caption="Average of Subscribed" measure="1" displayFolder="" measureGroup="bank-full" count="0" hidden="1">
      <extLst>
        <ext xmlns:x15="http://schemas.microsoft.com/office/spreadsheetml/2010/11/main" uri="{B97F6D7D-B522-45F9-BDA1-12C45D357490}">
          <x15:cacheHierarchy aggregatedColumn="17"/>
        </ext>
      </extLst>
    </cacheHierarchy>
    <cacheHierarchy uniqueName="[Measures].[Sum of previous]" caption="Sum of previous" measure="1" displayFolder="" measureGroup="bank-full" count="0" hidden="1">
      <extLst>
        <ext xmlns:x15="http://schemas.microsoft.com/office/spreadsheetml/2010/11/main" uri="{B97F6D7D-B522-45F9-BDA1-12C45D357490}">
          <x15:cacheHierarchy aggregatedColumn="14"/>
        </ext>
      </extLst>
    </cacheHierarchy>
    <cacheHierarchy uniqueName="[Measures].[Count of contact]" caption="Count of contact" measure="1" displayFolder="" measureGroup="bank-full" count="0" hidden="1">
      <extLst>
        <ext xmlns:x15="http://schemas.microsoft.com/office/spreadsheetml/2010/11/main" uri="{B97F6D7D-B522-45F9-BDA1-12C45D357490}">
          <x15:cacheHierarchy aggregatedColumn="8"/>
        </ext>
      </extLst>
    </cacheHierarchy>
    <cacheHierarchy uniqueName="Unsupported0" caption="age" measure="1" count="0">
      <extLst>
        <ext xmlns:x14="http://schemas.microsoft.com/office/spreadsheetml/2009/9/main" uri="{8CF416AD-EC4C-4aba-99F5-12A058AE0983}">
          <x14:cacheHierarchy ignore="1"/>
        </ext>
      </extLst>
    </cacheHierarchy>
  </cacheHierarchies>
  <kpis count="0"/>
  <dimensions count="2">
    <dimension name="bank-full" uniqueName="[bank-full]" caption="bank-full"/>
    <dimension measure="1" name="Measures" uniqueName="[Measures]" caption="Measures"/>
  </dimensions>
  <measureGroups count="1">
    <measureGroup name="bank-full" caption="bank-full"/>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xioo Pongo" refreshedDate="46135.232380671296" createdVersion="3" refreshedVersion="8" minRefreshableVersion="3" recordCount="0" supportSubquery="1" supportAdvancedDrill="1" xr:uid="{74CF1356-69FC-4F7F-A0E6-B219CF97DF4C}">
  <cacheSource type="external" connectionId="2">
    <extLst>
      <ext xmlns:x14="http://schemas.microsoft.com/office/spreadsheetml/2009/9/main" uri="{F057638F-6D5F-4e77-A914-E7F072B9BCA8}">
        <x14:sourceConnection name="ThisWorkbookDataModel"/>
      </ext>
    </extLst>
  </cacheSource>
  <cacheFields count="0"/>
  <cacheHierarchies count="34">
    <cacheHierarchy uniqueName="[bank-full].[age]" caption="age" attribute="1" defaultMemberUniqueName="[bank-full].[age].[All]" allUniqueName="[bank-full].[age].[All]" dimensionUniqueName="[bank-full]" displayFolder="" count="0" memberValueDatatype="20" unbalanced="0"/>
    <cacheHierarchy uniqueName="[bank-full].[job]" caption="job" attribute="1" defaultMemberUniqueName="[bank-full].[job].[All]" allUniqueName="[bank-full].[job].[All]" dimensionUniqueName="[bank-full]" displayFolder="" count="0" memberValueDatatype="130" unbalanced="0"/>
    <cacheHierarchy uniqueName="[bank-full].[marital]" caption="marital" attribute="1" defaultMemberUniqueName="[bank-full].[marital].[All]" allUniqueName="[bank-full].[marital].[All]" dimensionUniqueName="[bank-full]" displayFolder="" count="2" memberValueDatatype="130" unbalanced="0"/>
    <cacheHierarchy uniqueName="[bank-full].[education]" caption="education" attribute="1" defaultMemberUniqueName="[bank-full].[education].[All]" allUniqueName="[bank-full].[education].[All]" dimensionUniqueName="[bank-full]" displayFolder="" count="2" memberValueDatatype="130" unbalanced="0"/>
    <cacheHierarchy uniqueName="[bank-full].[default]" caption="default" attribute="1" defaultMemberUniqueName="[bank-full].[default].[All]" allUniqueName="[bank-full].[default].[All]" dimensionUniqueName="[bank-full]" displayFolder="" count="0" memberValueDatatype="130" unbalanced="0"/>
    <cacheHierarchy uniqueName="[bank-full].[balance]" caption="balance" attribute="1" defaultMemberUniqueName="[bank-full].[balance].[All]" allUniqueName="[bank-full].[balance].[All]" dimensionUniqueName="[bank-full]" displayFolder="" count="0" memberValueDatatype="20" unbalanced="0"/>
    <cacheHierarchy uniqueName="[bank-full].[housing]" caption="housing" attribute="1" defaultMemberUniqueName="[bank-full].[housing].[All]" allUniqueName="[bank-full].[housing].[All]" dimensionUniqueName="[bank-full]" displayFolder="" count="2" memberValueDatatype="130" unbalanced="0"/>
    <cacheHierarchy uniqueName="[bank-full].[loan]" caption="loan" attribute="1" defaultMemberUniqueName="[bank-full].[loan].[All]" allUniqueName="[bank-full].[loan].[All]" dimensionUniqueName="[bank-full]" displayFolder="" count="2" memberValueDatatype="130" unbalanced="0"/>
    <cacheHierarchy uniqueName="[bank-full].[contact]" caption="contact" attribute="1" defaultMemberUniqueName="[bank-full].[contact].[All]" allUniqueName="[bank-full].[contact].[All]" dimensionUniqueName="[bank-full]" displayFolder="" count="0" memberValueDatatype="130" unbalanced="0"/>
    <cacheHierarchy uniqueName="[bank-full].[day]" caption="day" attribute="1" defaultMemberUniqueName="[bank-full].[day].[All]" allUniqueName="[bank-full].[day].[All]" dimensionUniqueName="[bank-full]" displayFolder="" count="0" memberValueDatatype="20" unbalanced="0"/>
    <cacheHierarchy uniqueName="[bank-full].[month]" caption="month" attribute="1" defaultMemberUniqueName="[bank-full].[month].[All]" allUniqueName="[bank-full].[month].[All]" dimensionUniqueName="[bank-full]" displayFolder="" count="0" memberValueDatatype="130" unbalanced="0"/>
    <cacheHierarchy uniqueName="[bank-full].[duration]" caption="duration" attribute="1" defaultMemberUniqueName="[bank-full].[duration].[All]" allUniqueName="[bank-full].[duration].[All]" dimensionUniqueName="[bank-full]" displayFolder="" count="0" memberValueDatatype="20" unbalanced="0"/>
    <cacheHierarchy uniqueName="[bank-full].[campaign]" caption="campaign" attribute="1" defaultMemberUniqueName="[bank-full].[campaign].[All]" allUniqueName="[bank-full].[campaign].[All]" dimensionUniqueName="[bank-full]" displayFolder="" count="0" memberValueDatatype="20" unbalanced="0"/>
    <cacheHierarchy uniqueName="[bank-full].[pdays]" caption="pdays" attribute="1" defaultMemberUniqueName="[bank-full].[pdays].[All]" allUniqueName="[bank-full].[pdays].[All]" dimensionUniqueName="[bank-full]" displayFolder="" count="0" memberValueDatatype="20" unbalanced="0"/>
    <cacheHierarchy uniqueName="[bank-full].[previous]" caption="previous" attribute="1" defaultMemberUniqueName="[bank-full].[previous].[All]" allUniqueName="[bank-full].[previous].[All]" dimensionUniqueName="[bank-full]" displayFolder="" count="0" memberValueDatatype="20" unbalanced="0"/>
    <cacheHierarchy uniqueName="[bank-full].[poutcome]" caption="poutcome" attribute="1" defaultMemberUniqueName="[bank-full].[poutcome].[All]" allUniqueName="[bank-full].[poutcome].[All]" dimensionUniqueName="[bank-full]" displayFolder="" count="0" memberValueDatatype="130" unbalanced="0"/>
    <cacheHierarchy uniqueName="[bank-full].[y]" caption="y" attribute="1" defaultMemberUniqueName="[bank-full].[y].[All]" allUniqueName="[bank-full].[y].[All]" dimensionUniqueName="[bank-full]" displayFolder="" count="0" memberValueDatatype="130" unbalanced="0"/>
    <cacheHierarchy uniqueName="[bank-full].[Subscribed]" caption="Subscribed" attribute="1" defaultMemberUniqueName="[bank-full].[Subscribed].[All]" allUniqueName="[bank-full].[Subscribed].[All]" dimensionUniqueName="[bank-full]" displayFolder="" count="0" memberValueDatatype="20" unbalanced="0"/>
    <cacheHierarchy uniqueName="[bank-full].[Not Subscribed]" caption="Not Subscribed" attribute="1" defaultMemberUniqueName="[bank-full].[Not Subscribed].[All]" allUniqueName="[bank-full].[Not Subscribed].[All]" dimensionUniqueName="[bank-full]" displayFolder="" count="0" memberValueDatatype="20" unbalanced="0"/>
    <cacheHierarchy uniqueName="[bank-full].[Age Group]" caption="Age Group" attribute="1" defaultMemberUniqueName="[bank-full].[Age Group].[All]" allUniqueName="[bank-full].[Age Group].[All]" dimensionUniqueName="[bank-full]" displayFolder="" count="0" memberValueDatatype="130" unbalanced="0"/>
    <cacheHierarchy uniqueName="[bank-full].[Balance Tier]" caption="Balance Tier" attribute="1" defaultMemberUniqueName="[bank-full].[Balance Tier].[All]" allUniqueName="[bank-full].[Balance Tier].[All]" dimensionUniqueName="[bank-full]" displayFolder="" count="0" memberValueDatatype="130" unbalanced="0"/>
    <cacheHierarchy uniqueName="[Measures].[Total Contacts]" caption="Total Contacts" measure="1" displayFolder="" measureGroup="bank-full" count="0"/>
    <cacheHierarchy uniqueName="[Measures].[Total Subscriptions]" caption="Total Subscriptions" measure="1" displayFolder="" measureGroup="bank-full" count="0"/>
    <cacheHierarchy uniqueName="[Measures].[AVG Call Durations]" caption="AVG Call Durations" measure="1" displayFolder="" measureGroup="bank-full" count="0"/>
    <cacheHierarchy uniqueName="[Measures].[AVG Contacts/Client]" caption="AVG Contacts/Client" measure="1" displayFolder="" measureGroup="bank-full" count="0"/>
    <cacheHierarchy uniqueName="[Measures].[__XL_Count bank-full]" caption="__XL_Count bank-full" measure="1" displayFolder="" measureGroup="bank-full" count="0" hidden="1"/>
    <cacheHierarchy uniqueName="[Measures].[__No measures defined]" caption="__No measures defined" measure="1" displayFolder="" count="0" hidden="1"/>
    <cacheHierarchy uniqueName="[Measures].[Count of y]" caption="Count of y" measure="1" displayFolder="" measureGroup="bank-full" count="0" hidden="1">
      <extLst>
        <ext xmlns:x15="http://schemas.microsoft.com/office/spreadsheetml/2010/11/main" uri="{B97F6D7D-B522-45F9-BDA1-12C45D357490}">
          <x15:cacheHierarchy aggregatedColumn="16"/>
        </ext>
      </extLst>
    </cacheHierarchy>
    <cacheHierarchy uniqueName="[Measures].[Sum of Subscribed]" caption="Sum of Subscribed" measure="1" displayFolder="" measureGroup="bank-full" count="0" hidden="1">
      <extLst>
        <ext xmlns:x15="http://schemas.microsoft.com/office/spreadsheetml/2010/11/main" uri="{B97F6D7D-B522-45F9-BDA1-12C45D357490}">
          <x15:cacheHierarchy aggregatedColumn="17"/>
        </ext>
      </extLst>
    </cacheHierarchy>
    <cacheHierarchy uniqueName="[Measures].[Count of Subscribed]" caption="Count of Subscribed" measure="1" displayFolder="" measureGroup="bank-full" count="0" hidden="1">
      <extLst>
        <ext xmlns:x15="http://schemas.microsoft.com/office/spreadsheetml/2010/11/main" uri="{B97F6D7D-B522-45F9-BDA1-12C45D357490}">
          <x15:cacheHierarchy aggregatedColumn="17"/>
        </ext>
      </extLst>
    </cacheHierarchy>
    <cacheHierarchy uniqueName="[Measures].[Sum of Not Subscribed]" caption="Sum of Not Subscribed" measure="1" displayFolder="" measureGroup="bank-full" count="0" hidden="1">
      <extLst>
        <ext xmlns:x15="http://schemas.microsoft.com/office/spreadsheetml/2010/11/main" uri="{B97F6D7D-B522-45F9-BDA1-12C45D357490}">
          <x15:cacheHierarchy aggregatedColumn="18"/>
        </ext>
      </extLst>
    </cacheHierarchy>
    <cacheHierarchy uniqueName="[Measures].[Average of Subscribed]" caption="Average of Subscribed" measure="1" displayFolder="" measureGroup="bank-full" count="0" hidden="1">
      <extLst>
        <ext xmlns:x15="http://schemas.microsoft.com/office/spreadsheetml/2010/11/main" uri="{B97F6D7D-B522-45F9-BDA1-12C45D357490}">
          <x15:cacheHierarchy aggregatedColumn="17"/>
        </ext>
      </extLst>
    </cacheHierarchy>
    <cacheHierarchy uniqueName="[Measures].[Sum of previous]" caption="Sum of previous" measure="1" displayFolder="" measureGroup="bank-full" count="0" hidden="1">
      <extLst>
        <ext xmlns:x15="http://schemas.microsoft.com/office/spreadsheetml/2010/11/main" uri="{B97F6D7D-B522-45F9-BDA1-12C45D357490}">
          <x15:cacheHierarchy aggregatedColumn="14"/>
        </ext>
      </extLst>
    </cacheHierarchy>
    <cacheHierarchy uniqueName="[Measures].[Count of contact]" caption="Count of contact" measure="1" displayFolder="" measureGroup="bank-full" count="0" hidden="1">
      <extLst>
        <ext xmlns:x15="http://schemas.microsoft.com/office/spreadsheetml/2010/11/main" uri="{B97F6D7D-B522-45F9-BDA1-12C45D357490}">
          <x15:cacheHierarchy aggregatedColumn="8"/>
        </ext>
      </extLst>
    </cacheHierarchy>
  </cacheHierarchies>
  <kpis count="0"/>
  <extLst>
    <ext xmlns:x14="http://schemas.microsoft.com/office/spreadsheetml/2009/9/main" uri="{725AE2AE-9491-48be-B2B4-4EB974FC3084}">
      <x14:pivotCacheDefinition slicerData="1" pivotCacheId="162944570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097EFD4-9E9C-4AD7-8276-CD19B7B1B8DA}" name="PivotTable10" cacheId="122" applyNumberFormats="0" applyBorderFormats="0" applyFontFormats="0" applyPatternFormats="0" applyAlignmentFormats="0" applyWidthHeightFormats="1" dataCaption="Values" tag="645f9214-7117-4fcc-b126-893cf2c10fbf" updatedVersion="8" minRefreshableVersion="3" useAutoFormatting="1" subtotalHiddenItems="1" itemPrintTitles="1" createdVersion="5" indent="0" outline="1" outlineData="1" multipleFieldFilters="0" chartFormat="56">
  <location ref="A55:C62" firstHeaderRow="0" firstDataRow="1" firstDataCol="1"/>
  <pivotFields count="9">
    <pivotField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llDrilled="1" subtotalTop="0" showAll="0" sortType="descending" defaultSubtotal="0" defaultAttributeDrillState="1">
      <items count="12">
        <item x="0"/>
        <item x="1"/>
        <item x="2"/>
        <item x="3"/>
        <item x="4"/>
        <item x="5"/>
        <item x="6"/>
        <item x="7"/>
        <item x="8"/>
        <item x="9"/>
        <item x="10"/>
        <item x="11"/>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measureFilter="1" dataSourceSort="1" defaultSubtotal="0" defaultAttributeDrillState="1">
      <items count="6">
        <item x="0"/>
        <item x="1"/>
        <item x="2"/>
        <item x="3"/>
        <item x="4"/>
        <item x="5"/>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3"/>
  </rowFields>
  <rowItems count="7">
    <i>
      <x/>
    </i>
    <i>
      <x v="1"/>
    </i>
    <i>
      <x v="2"/>
    </i>
    <i>
      <x v="3"/>
    </i>
    <i>
      <x v="4"/>
    </i>
    <i>
      <x v="5"/>
    </i>
    <i t="grand">
      <x/>
    </i>
  </rowItems>
  <colFields count="1">
    <field x="-2"/>
  </colFields>
  <colItems count="2">
    <i>
      <x/>
    </i>
    <i i="1">
      <x v="1"/>
    </i>
  </colItems>
  <dataFields count="2">
    <dataField name="Sum of Subscribed" fld="2" showDataAs="percentOfCol" baseField="1" baseItem="5" numFmtId="10"/>
    <dataField name="Sum of Subscribed2" fld="8" showDataAs="percentOfCol" baseField="0" baseItem="0" numFmtId="10">
      <extLst>
        <ext xmlns:x14="http://schemas.microsoft.com/office/spreadsheetml/2009/9/main" uri="{E15A36E0-9728-4e99-A89B-3F7291B0FE68}">
          <x14:dataField sourceField="2" uniqueName="[__Xl2].[Measures].[Sum of Subscribed]"/>
        </ext>
      </extLst>
    </dataField>
  </dataFields>
  <formats count="1">
    <format dxfId="13">
      <pivotArea collapsedLevelsAreSubtotals="1" fieldPosition="0">
        <references count="1">
          <reference field="3" count="0"/>
        </references>
      </pivotArea>
    </format>
  </formats>
  <chartFormats count="6">
    <chartFormat chart="8"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33" format="0" series="1">
      <pivotArea type="data" outline="0" fieldPosition="0">
        <references count="1">
          <reference field="4294967294" count="1" selected="0">
            <x v="0"/>
          </reference>
        </references>
      </pivotArea>
    </chartFormat>
    <chartFormat chart="33" format="1" series="1">
      <pivotArea type="data" outline="0" fieldPosition="0">
        <references count="1">
          <reference field="4294967294" count="1" selected="0">
            <x v="1"/>
          </reference>
        </references>
      </pivotArea>
    </chartFormat>
    <chartFormat chart="54" format="4" series="1">
      <pivotArea type="data" outline="0" fieldPosition="0">
        <references count="1">
          <reference field="4294967294" count="1" selected="0">
            <x v="0"/>
          </reference>
        </references>
      </pivotArea>
    </chartFormat>
    <chartFormat chart="54" format="5" series="1">
      <pivotArea type="data" outline="0" fieldPosition="0">
        <references count="1">
          <reference field="4294967294" count="1" selected="0">
            <x v="1"/>
          </reference>
        </references>
      </pivotArea>
    </chartFormat>
  </chartFormats>
  <pivotHierarchies count="35">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Sum of Subscribed"/>
    <pivotHierarchy dragToData="1" caption="Count of Subscribed2"/>
    <pivotHierarchy dragToData="1"/>
    <pivotHierarchy dragToData="1" caption="Average of Subscribed"/>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filters count="1">
    <filter fld="3" type="count" id="1" iMeasureHier="28">
      <autoFilter ref="A1">
        <filterColumn colId="0">
          <top10 val="6" filterVal="6"/>
        </filterColumn>
      </autoFilter>
    </filter>
  </filters>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ank-ful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3339552-68F0-417F-8F3E-AAAF003A9194}" name="PivotTable2" cacheId="92" applyNumberFormats="0" applyBorderFormats="0" applyFontFormats="0" applyPatternFormats="0" applyAlignmentFormats="0" applyWidthHeightFormats="1" dataCaption="Values" tag="2ba8107b-0bc3-4757-8fcb-3d35b6ef9ba3" updatedVersion="8" minRefreshableVersion="3" useAutoFormatting="1" subtotalHiddenItems="1" itemPrintTitles="1" createdVersion="5" indent="0" outline="1" outlineData="1" multipleFieldFilters="0">
  <location ref="A1:A2" firstHeaderRow="1" firstDataRow="1" firstDataCol="0"/>
  <pivotFields count="5">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numFmtId="166"/>
  </dataFields>
  <formats count="1">
    <format dxfId="14">
      <pivotArea outline="0" collapsedLevelsAreSubtotals="1" fieldPosition="0"/>
    </format>
  </formats>
  <pivotHierarchies count="34">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ank-ful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F26FBF4-5558-4547-BD77-93C7B58C696E}" name="PivotTable5" cacheId="110" applyNumberFormats="0" applyBorderFormats="0" applyFontFormats="0" applyPatternFormats="0" applyAlignmentFormats="0" applyWidthHeightFormats="1" dataCaption="Values" tag="2ae24a4d-ffa0-4e68-9038-8cc88fcc045c" updatedVersion="8" minRefreshableVersion="3" useAutoFormatting="1" subtotalHiddenItems="1" itemPrintTitles="1" createdVersion="5" indent="0" outline="1" outlineData="1" multipleFieldFilters="0">
  <location ref="G1:G2" firstHeaderRow="1" firstDataRow="1" firstDataCol="0"/>
  <pivotFields count="5">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numFmtId="2"/>
  </dataFields>
  <formats count="1">
    <format dxfId="15">
      <pivotArea outline="0" collapsedLevelsAreSubtotals="1" fieldPosition="0"/>
    </format>
  </formats>
  <pivotHierarchies count="34">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ank-ful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FF6F300-CA56-4E7F-B732-41C5FCBC23E0}" name="PivotTable12" cacheId="98" applyNumberFormats="0" applyBorderFormats="0" applyFontFormats="0" applyPatternFormats="0" applyAlignmentFormats="0" applyWidthHeightFormats="1" dataCaption="Values" tag="7031e504-82bc-49d3-ae9d-6d7e41c33634" updatedVersion="8" minRefreshableVersion="3" useAutoFormatting="1" subtotalHiddenItems="1" itemPrintTitles="1" createdVersion="5" indent="0" outline="1" outlineData="1" multipleFieldFilters="0" chartFormat="52">
  <location ref="A86:B93" firstHeaderRow="1" firstDataRow="1" firstDataCol="1"/>
  <pivotFields count="7">
    <pivotField allDrilled="1" subtotalTop="0" showAll="0" measureFilter="1" dataSourceSort="1" defaultSubtotal="0" defaultAttributeDrillState="1">
      <items count="6">
        <item x="0"/>
        <item x="1"/>
        <item x="2"/>
        <item x="3"/>
        <item x="4"/>
        <item x="5"/>
      </items>
    </pivotField>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name="Sum of Subscribed" fld="2" showDataAs="percentOfCol" baseField="0" baseItem="0" numFmtId="10"/>
  </dataFields>
  <formats count="1">
    <format dxfId="16">
      <pivotArea collapsedLevelsAreSubtotals="1" fieldPosition="0">
        <references count="1">
          <reference field="1" count="0"/>
        </references>
      </pivotArea>
    </format>
  </formats>
  <chartFormats count="8">
    <chartFormat chart="37" format="0" series="1">
      <pivotArea type="data" outline="0" fieldPosition="0">
        <references count="1">
          <reference field="4294967294" count="1" selected="0">
            <x v="0"/>
          </reference>
        </references>
      </pivotArea>
    </chartFormat>
    <chartFormat chart="40" format="2" series="1">
      <pivotArea type="data" outline="0" fieldPosition="0">
        <references count="1">
          <reference field="4294967294" count="1" selected="0">
            <x v="0"/>
          </reference>
        </references>
      </pivotArea>
    </chartFormat>
    <chartFormat chart="40" format="3">
      <pivotArea type="data" outline="0" fieldPosition="0">
        <references count="2">
          <reference field="4294967294" count="1" selected="0">
            <x v="0"/>
          </reference>
          <reference field="1" count="1" selected="0">
            <x v="1"/>
          </reference>
        </references>
      </pivotArea>
    </chartFormat>
    <chartFormat chart="40" format="4">
      <pivotArea type="data" outline="0" fieldPosition="0">
        <references count="2">
          <reference field="4294967294" count="1" selected="0">
            <x v="0"/>
          </reference>
          <reference field="1" count="1" selected="0">
            <x v="2"/>
          </reference>
        </references>
      </pivotArea>
    </chartFormat>
    <chartFormat chart="40" format="5">
      <pivotArea type="data" outline="0" fieldPosition="0">
        <references count="2">
          <reference field="4294967294" count="1" selected="0">
            <x v="0"/>
          </reference>
          <reference field="1" count="1" selected="0">
            <x v="0"/>
          </reference>
        </references>
      </pivotArea>
    </chartFormat>
    <chartFormat chart="40" format="6">
      <pivotArea type="data" outline="0" fieldPosition="0">
        <references count="2">
          <reference field="4294967294" count="1" selected="0">
            <x v="0"/>
          </reference>
          <reference field="1" count="1" selected="0">
            <x v="3"/>
          </reference>
        </references>
      </pivotArea>
    </chartFormat>
    <chartFormat chart="40" format="7">
      <pivotArea type="data" outline="0" fieldPosition="0">
        <references count="2">
          <reference field="4294967294" count="1" selected="0">
            <x v="0"/>
          </reference>
          <reference field="1" count="1" selected="0">
            <x v="4"/>
          </reference>
        </references>
      </pivotArea>
    </chartFormat>
    <chartFormat chart="40" format="8">
      <pivotArea type="data" outline="0" fieldPosition="0">
        <references count="2">
          <reference field="4294967294" count="1" selected="0">
            <x v="0"/>
          </reference>
          <reference field="1" count="1" selected="0">
            <x v="5"/>
          </reference>
        </references>
      </pivotArea>
    </chartFormat>
  </chartFormats>
  <pivotHierarchies count="34">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Sum of Subscribed"/>
    <pivotHierarchy dragToData="1" caption="Count of Subscribed2"/>
    <pivotHierarchy dragToData="1"/>
    <pivotHierarchy dragToData="1" caption="Average of Subscribed"/>
    <pivotHierarchy dragToData="1"/>
    <pivotHierarchy dragToData="1"/>
  </pivotHierarchies>
  <pivotTableStyleInfo name="PivotStyleLight16" showRowHeaders="1" showColHeaders="1" showRowStripes="0" showColStripes="0" showLastColumn="1"/>
  <filters count="1">
    <filter fld="0" type="count" id="1" iMeasureHier="28">
      <autoFilter ref="A1">
        <filterColumn colId="0">
          <top10 val="6" filterVal="6"/>
        </filterColumn>
      </autoFilter>
    </filter>
  </filters>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ank-ful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2B1D8DD-9181-4D35-9A7E-5CAE1B4DF844}" name="PivotTable7" cacheId="116" applyNumberFormats="0" applyBorderFormats="0" applyFontFormats="0" applyPatternFormats="0" applyAlignmentFormats="0" applyWidthHeightFormats="1" dataCaption="Values" tag="ded44f02-134d-482d-a9d0-b3da7cf1b63f" updatedVersion="8" minRefreshableVersion="3" useAutoFormatting="1" subtotalHiddenItems="1" itemPrintTitles="1" createdVersion="5" indent="0" outline="1" outlineData="1" multipleFieldFilters="0" chartFormat="17">
  <location ref="A24:D27" firstHeaderRow="0" firstDataRow="1" firstDataCol="1"/>
  <pivotFields count="8">
    <pivotField axis="axisRow" allDrilled="1" subtotalTop="0" showAll="0" defaultSubtotal="0" defaultAttributeDrillState="1">
      <items count="2">
        <item x="0"/>
        <item x="1"/>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Fields count="1">
    <field x="-2"/>
  </colFields>
  <colItems count="3">
    <i>
      <x/>
    </i>
    <i i="1">
      <x v="1"/>
    </i>
    <i i="2">
      <x v="2"/>
    </i>
  </colItems>
  <dataFields count="3">
    <dataField name="Sum of Not Subscribed" fld="2" baseField="0" baseItem="0"/>
    <dataField name="Sum of Subscribed" fld="1" baseField="0" baseItem="0"/>
    <dataField name="Count of contact" fld="3" subtotal="count" baseField="0" baseItem="0"/>
  </dataFields>
  <formats count="4">
    <format dxfId="20">
      <pivotArea collapsedLevelsAreSubtotals="1" fieldPosition="0">
        <references count="1">
          <reference field="0" count="0"/>
        </references>
      </pivotArea>
    </format>
    <format dxfId="19">
      <pivotArea outline="0" fieldPosition="0">
        <references count="1">
          <reference field="4294967294" count="1">
            <x v="1"/>
          </reference>
        </references>
      </pivotArea>
    </format>
    <format dxfId="18">
      <pivotArea collapsedLevelsAreSubtotals="1" fieldPosition="0">
        <references count="2">
          <reference field="4294967294" count="1" selected="0">
            <x v="0"/>
          </reference>
          <reference field="0" count="0"/>
        </references>
      </pivotArea>
    </format>
    <format dxfId="17">
      <pivotArea collapsedLevelsAreSubtotals="1" fieldPosition="0">
        <references count="2">
          <reference field="4294967294" count="1" selected="0">
            <x v="2"/>
          </reference>
          <reference field="0" count="0"/>
        </references>
      </pivotArea>
    </format>
  </formats>
  <pivotHierarchies count="34">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Sum of Subscribed"/>
    <pivotHierarchy dragToData="1" caption="Count of Subscribed2"/>
    <pivotHierarchy dragToData="1"/>
    <pivotHierarchy dragToData="1" caption="Average of Subscribed"/>
    <pivotHierarchy dragToData="1"/>
    <pivotHierarchy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ank-ful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8665BB3-9159-4F79-970F-39B29389B53D}" name="PivotTable6" cacheId="113" applyNumberFormats="0" applyBorderFormats="0" applyFontFormats="0" applyPatternFormats="0" applyAlignmentFormats="0" applyWidthHeightFormats="1" dataCaption="Values" tag="dd518377-7a94-4e48-98a2-66d385baad4f" updatedVersion="8" minRefreshableVersion="3" useAutoFormatting="1" subtotalHiddenItems="1" itemPrintTitles="1" createdVersion="5" indent="0" outline="1" outlineData="1" multipleFieldFilters="0" chartFormat="19">
  <location ref="A8:C21" firstHeaderRow="0" firstDataRow="1" firstDataCol="1"/>
  <pivotFields count="7">
    <pivotField axis="axisRow" allDrilled="1" subtotalTop="0" showAll="0" nonAutoSortDefault="1" defaultSubtotal="0" defaultAttributeDrillState="1">
      <items count="12">
        <item x="4"/>
        <item x="3"/>
        <item x="7"/>
        <item x="0"/>
        <item x="8"/>
        <item x="6"/>
        <item x="5"/>
        <item x="1"/>
        <item x="11"/>
        <item x="10"/>
        <item x="9"/>
        <item x="2"/>
      </items>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name="Subscribed" fld="1" baseField="0" baseItem="0"/>
    <dataField name="Not Subscribed" fld="2" baseField="0" baseItem="0"/>
  </dataFields>
  <formats count="1">
    <format dxfId="0">
      <pivotArea collapsedLevelsAreSubtotals="1" fieldPosition="0">
        <references count="1">
          <reference field="0" count="0"/>
        </references>
      </pivotArea>
    </format>
  </formats>
  <chartFormats count="11">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 chart="10" format="6">
      <pivotArea type="data" outline="0" fieldPosition="0">
        <references count="2">
          <reference field="4294967294" count="1" selected="0">
            <x v="1"/>
          </reference>
          <reference field="0" count="1" selected="0">
            <x v="0"/>
          </reference>
        </references>
      </pivotArea>
    </chartFormat>
    <chartFormat chart="10" format="7">
      <pivotArea type="data" outline="0" fieldPosition="0">
        <references count="2">
          <reference field="4294967294" count="1" selected="0">
            <x v="1"/>
          </reference>
          <reference field="0" count="1" selected="0">
            <x v="1"/>
          </reference>
        </references>
      </pivotArea>
    </chartFormat>
    <chartFormat chart="10" format="8">
      <pivotArea type="data" outline="0" fieldPosition="0">
        <references count="2">
          <reference field="4294967294" count="1" selected="0">
            <x v="1"/>
          </reference>
          <reference field="0" count="1" selected="0">
            <x v="2"/>
          </reference>
        </references>
      </pivotArea>
    </chartFormat>
    <chartFormat chart="10" format="9">
      <pivotArea type="data" outline="0" fieldPosition="0">
        <references count="2">
          <reference field="4294967294" count="1" selected="0">
            <x v="1"/>
          </reference>
          <reference field="0" count="1" selected="0">
            <x v="3"/>
          </reference>
        </references>
      </pivotArea>
    </chartFormat>
    <chartFormat chart="10" format="10">
      <pivotArea type="data" outline="0" fieldPosition="0">
        <references count="2">
          <reference field="4294967294" count="1" selected="0">
            <x v="1"/>
          </reference>
          <reference field="0" count="1" selected="0">
            <x v="8"/>
          </reference>
        </references>
      </pivotArea>
    </chartFormat>
    <chartFormat chart="10" format="11">
      <pivotArea type="data" outline="0" fieldPosition="0">
        <references count="2">
          <reference field="4294967294" count="1" selected="0">
            <x v="1"/>
          </reference>
          <reference field="0" count="1" selected="0">
            <x v="9"/>
          </reference>
        </references>
      </pivotArea>
    </chartFormat>
    <chartFormat chart="10" format="12">
      <pivotArea type="data" outline="0" fieldPosition="0">
        <references count="2">
          <reference field="4294967294" count="1" selected="0">
            <x v="1"/>
          </reference>
          <reference field="0" count="1" selected="0">
            <x v="11"/>
          </reference>
        </references>
      </pivotArea>
    </chartFormat>
  </chartFormats>
  <pivotHierarchies count="34">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Subscribed"/>
    <pivotHierarchy dragToData="1" caption="Count of Subscribed2"/>
    <pivotHierarchy dragToData="1" caption="Not Subscribed"/>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ank-ful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AA2208-BB77-40F5-8BCF-C522194E4A85}" name="PivotTable3" cacheId="104" applyNumberFormats="0" applyBorderFormats="0" applyFontFormats="0" applyPatternFormats="0" applyAlignmentFormats="0" applyWidthHeightFormats="1" dataCaption="Values" tag="375dbb27-6cf6-40fe-94a3-e5baeb93e4f1" updatedVersion="8" minRefreshableVersion="3" useAutoFormatting="1" subtotalHiddenItems="1" itemPrintTitles="1" createdVersion="5" indent="0" outline="1" outlineData="1" multipleFieldFilters="0">
  <location ref="C1:C2" firstHeaderRow="1" firstDataRow="1" firstDataCol="0"/>
  <pivotFields count="5">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numFmtId="166"/>
  </dataFields>
  <formats count="1">
    <format dxfId="21">
      <pivotArea outline="0" collapsedLevelsAreSubtotals="1" fieldPosition="0"/>
    </format>
  </formats>
  <pivotHierarchies count="34">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ank-ful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B7F3E3B-393E-462E-B086-A0308BD5AF92}" name="PivotTable4" cacheId="107" applyNumberFormats="0" applyBorderFormats="0" applyFontFormats="0" applyPatternFormats="0" applyAlignmentFormats="0" applyWidthHeightFormats="1" dataCaption="Values" tag="697bdfc7-3c3c-49f9-ad71-d11d3d36fe69" updatedVersion="8" minRefreshableVersion="3" useAutoFormatting="1" subtotalHiddenItems="1" itemPrintTitles="1" createdVersion="5" indent="0" outline="1" outlineData="1" multipleFieldFilters="0">
  <location ref="E1:E2" firstHeaderRow="1" firstDataRow="1" firstDataCol="0"/>
  <pivotFields count="5">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numFmtId="165"/>
  </dataFields>
  <formats count="1">
    <format dxfId="22">
      <pivotArea outline="0" collapsedLevelsAreSubtotals="1" fieldPosition="0"/>
    </format>
  </formats>
  <pivotHierarchies count="34">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ank-ful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012D94E-3F64-49C7-BAB6-429979DA2957}" name="PivotTable11" cacheId="95" applyNumberFormats="0" applyBorderFormats="0" applyFontFormats="0" applyPatternFormats="0" applyAlignmentFormats="0" applyWidthHeightFormats="1" dataCaption="Values" tag="19407016-90f5-4b2b-bf68-cba7ddd3f62c" updatedVersion="8" minRefreshableVersion="3" useAutoFormatting="1" subtotalHiddenItems="1" itemPrintTitles="1" createdVersion="5" indent="0" outline="1" outlineData="1" multipleFieldFilters="0" chartFormat="39">
  <location ref="A71:B76" firstHeaderRow="1" firstDataRow="1" firstDataCol="1"/>
  <pivotFields count="7">
    <pivotField allDrilled="1" subtotalTop="0" showAll="0" measureFilter="1" dataSourceSort="1" defaultSubtotal="0" defaultAttributeDrillState="1">
      <items count="6">
        <item x="0"/>
        <item x="1"/>
        <item x="2"/>
        <item x="3"/>
        <item x="4"/>
        <item x="5"/>
      </items>
    </pivotField>
    <pivotField axis="axisRow" allDrilled="1" subtotalTop="0" showAll="0" defaultSubtotal="0" defaultAttributeDrillState="1">
      <items count="4">
        <item x="0"/>
        <item x="2"/>
        <item x="3"/>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previous" fld="2" showDataAs="percentOfCol" baseField="0" baseItem="0" numFmtId="10"/>
  </dataFields>
  <chartFormats count="5">
    <chartFormat chart="35" format="0" series="1">
      <pivotArea type="data" outline="0" fieldPosition="0">
        <references count="1">
          <reference field="4294967294" count="1" selected="0">
            <x v="0"/>
          </reference>
        </references>
      </pivotArea>
    </chartFormat>
    <chartFormat chart="38" format="2" series="1">
      <pivotArea type="data" outline="0" fieldPosition="0">
        <references count="1">
          <reference field="4294967294" count="1" selected="0">
            <x v="0"/>
          </reference>
        </references>
      </pivotArea>
    </chartFormat>
    <chartFormat chart="38" format="3">
      <pivotArea type="data" outline="0" fieldPosition="0">
        <references count="2">
          <reference field="4294967294" count="1" selected="0">
            <x v="0"/>
          </reference>
          <reference field="1" count="1" selected="0">
            <x v="2"/>
          </reference>
        </references>
      </pivotArea>
    </chartFormat>
    <chartFormat chart="38" format="4">
      <pivotArea type="data" outline="0" fieldPosition="0">
        <references count="2">
          <reference field="4294967294" count="1" selected="0">
            <x v="0"/>
          </reference>
          <reference field="1" count="1" selected="0">
            <x v="1"/>
          </reference>
        </references>
      </pivotArea>
    </chartFormat>
    <chartFormat chart="38" format="5">
      <pivotArea type="data" outline="0" fieldPosition="0">
        <references count="2">
          <reference field="4294967294" count="1" selected="0">
            <x v="0"/>
          </reference>
          <reference field="1" count="1" selected="0">
            <x v="0"/>
          </reference>
        </references>
      </pivotArea>
    </chartFormat>
  </chartFormats>
  <pivotHierarchies count="34">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Sum of Subscribed"/>
    <pivotHierarchy dragToData="1" caption="Count of Subscribed2"/>
    <pivotHierarchy dragToData="1"/>
    <pivotHierarchy dragToData="1" caption="Average of Subscribed"/>
    <pivotHierarchy dragToData="1"/>
    <pivotHierarchy dragToData="1"/>
  </pivotHierarchies>
  <pivotTableStyleInfo name="PivotStyleLight16" showRowHeaders="1" showColHeaders="1" showRowStripes="0" showColStripes="0" showLastColumn="1"/>
  <filters count="1">
    <filter fld="0" type="count" id="1" iMeasureHier="28">
      <autoFilter ref="A1">
        <filterColumn colId="0">
          <top10 val="6" filterVal="6"/>
        </filterColumn>
      </autoFilter>
    </filter>
  </filters>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ank-ful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372D761-9DB1-4155-B063-845DBB989BEB}" name="PivotTable13" cacheId="101" applyNumberFormats="0" applyBorderFormats="0" applyFontFormats="0" applyPatternFormats="0" applyAlignmentFormats="0" applyWidthHeightFormats="1" dataCaption="Values" tag="e5cf5343-c4fc-4e26-9d5e-a0bac3e8b238" updatedVersion="8" minRefreshableVersion="3" useAutoFormatting="1" subtotalHiddenItems="1" itemPrintTitles="1" createdVersion="5" indent="0" outline="1" outlineData="1" multipleFieldFilters="0" chartFormat="48">
  <location ref="A102:C109" firstHeaderRow="0" firstDataRow="1" firstDataCol="1"/>
  <pivotFields count="8">
    <pivotField allDrilled="1" subtotalTop="0" showAll="0" measureFilter="1" dataSourceSort="1" defaultSubtotal="0" defaultAttributeDrillState="1">
      <items count="6">
        <item x="0"/>
        <item x="1"/>
        <item x="2"/>
        <item x="3"/>
        <item x="4"/>
        <item x="5"/>
      </items>
    </pivotField>
    <pivotField dataField="1" subtotalTop="0" showAll="0" defaultSubtotal="0"/>
    <pivotField axis="axisRow" allDrilled="1" subtotalTop="0" showAll="0" defaultSubtotal="0" defaultAttributeDrillState="1">
      <items count="6">
        <item x="0"/>
        <item x="1"/>
        <item x="4"/>
        <item x="3"/>
        <item x="5"/>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2"/>
  </rowFields>
  <rowItems count="7">
    <i>
      <x/>
    </i>
    <i>
      <x v="1"/>
    </i>
    <i>
      <x v="2"/>
    </i>
    <i>
      <x v="3"/>
    </i>
    <i>
      <x v="4"/>
    </i>
    <i>
      <x v="5"/>
    </i>
    <i t="grand">
      <x/>
    </i>
  </rowItems>
  <colFields count="1">
    <field x="-2"/>
  </colFields>
  <colItems count="2">
    <i>
      <x/>
    </i>
    <i i="1">
      <x v="1"/>
    </i>
  </colItems>
  <dataFields count="2">
    <dataField name="Subscribed" fld="1" baseField="0" baseItem="0"/>
    <dataField name="Not Subscribed" fld="3" baseField="2" baseItem="0"/>
  </dataFields>
  <chartFormats count="5">
    <chartFormat chart="37" format="0" series="1">
      <pivotArea type="data" outline="0" fieldPosition="0">
        <references count="1">
          <reference field="4294967294" count="1" selected="0">
            <x v="0"/>
          </reference>
        </references>
      </pivotArea>
    </chartFormat>
    <chartFormat chart="43" format="0" series="1">
      <pivotArea type="data" outline="0" fieldPosition="0">
        <references count="1">
          <reference field="4294967294" count="1" selected="0">
            <x v="0"/>
          </reference>
        </references>
      </pivotArea>
    </chartFormat>
    <chartFormat chart="43" format="1" series="1">
      <pivotArea type="data" outline="0" fieldPosition="0">
        <references count="1">
          <reference field="4294967294" count="1" selected="0">
            <x v="1"/>
          </reference>
        </references>
      </pivotArea>
    </chartFormat>
    <chartFormat chart="46" format="4" series="1">
      <pivotArea type="data" outline="0" fieldPosition="0">
        <references count="1">
          <reference field="4294967294" count="1" selected="0">
            <x v="0"/>
          </reference>
        </references>
      </pivotArea>
    </chartFormat>
    <chartFormat chart="46" format="5" series="1">
      <pivotArea type="data" outline="0" fieldPosition="0">
        <references count="1">
          <reference field="4294967294" count="1" selected="0">
            <x v="1"/>
          </reference>
        </references>
      </pivotArea>
    </chartFormat>
  </chartFormats>
  <pivotHierarchies count="34">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Subscribed"/>
    <pivotHierarchy dragToData="1" caption="Count of Subscribed2"/>
    <pivotHierarchy dragToData="1" caption="Not Subscribed"/>
    <pivotHierarchy dragToData="1" caption="Average of Subscribed"/>
    <pivotHierarchy dragToData="1"/>
    <pivotHierarchy dragToData="1"/>
  </pivotHierarchies>
  <pivotTableStyleInfo name="PivotStyleLight16" showRowHeaders="1" showColHeaders="1" showRowStripes="0" showColStripes="0" showLastColumn="1"/>
  <filters count="1">
    <filter fld="0" type="count" id="1" iMeasureHier="28">
      <autoFilter ref="A1">
        <filterColumn colId="0">
          <top10 val="6" filterVal="6"/>
        </filterColumn>
      </autoFilter>
    </filter>
  </filters>
  <rowHierarchiesUsage count="1">
    <rowHierarchyUsage hierarchyUsage="2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ank-ful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FEADD15-2E95-499B-8055-6D2EAF29C498}" name="PivotTable9" cacheId="119" applyNumberFormats="0" applyBorderFormats="0" applyFontFormats="0" applyPatternFormats="0" applyAlignmentFormats="0" applyWidthHeightFormats="1" dataCaption="Values" tag="5d9fa816-9179-4722-b141-b5d49f729224" updatedVersion="8" minRefreshableVersion="3" useAutoFormatting="1" subtotalHiddenItems="1" itemPrintTitles="1" createdVersion="5" indent="0" outline="1" outlineData="1" multipleFieldFilters="0" chartFormat="14">
  <location ref="A37:B43" firstHeaderRow="1" firstDataRow="1" firstDataCol="1"/>
  <pivotFields count="7">
    <pivotField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6">
    <i>
      <x v="2"/>
    </i>
    <i>
      <x v="4"/>
    </i>
    <i>
      <x/>
    </i>
    <i>
      <x v="1"/>
    </i>
    <i>
      <x v="3"/>
    </i>
    <i t="grand">
      <x/>
    </i>
  </rowItems>
  <colItems count="1">
    <i/>
  </colItems>
  <dataFields count="1">
    <dataField name="Sum of Subscribed" fld="2" showDataAs="percentOfCol" baseField="1" baseItem="5" numFmtId="10"/>
  </dataFields>
  <formats count="1">
    <format dxfId="23">
      <pivotArea collapsedLevelsAreSubtotals="1" fieldPosition="0">
        <references count="1">
          <reference field="1" count="0"/>
        </references>
      </pivotArea>
    </format>
  </formats>
  <chartFormats count="3">
    <chartFormat chart="8"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Sum of Subscribed"/>
    <pivotHierarchy dragToData="1" caption="Count of Subscribed2"/>
    <pivotHierarchy dragToData="1"/>
    <pivotHierarchy dragToData="1" caption="Average of Subscribed"/>
    <pivotHierarchy dragToData="1"/>
    <pivotHierarchy dragToData="1"/>
  </pivotHierarchies>
  <pivotTableStyleInfo name="PivotStyleLight16" showRowHeaders="1" showColHeaders="1" showRowStripes="0" showColStripes="0" showLastColumn="1"/>
  <filters count="1">
    <filter fld="1" type="count" id="1" iMeasureHier="28">
      <autoFilter ref="A1">
        <filterColumn colId="0">
          <top10 val="5" filterVal="5"/>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ank-full]"/>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using" xr10:uid="{3D16A463-0449-4310-AD27-639335CC1A3D}" sourceName="[bank-full].[housing]">
  <pivotTables>
    <pivotTable tabId="1" name="PivotTable2"/>
    <pivotTable tabId="1" name="PivotTable10"/>
    <pivotTable tabId="1" name="PivotTable11"/>
    <pivotTable tabId="1" name="PivotTable12"/>
    <pivotTable tabId="1" name="PivotTable13"/>
    <pivotTable tabId="1" name="PivotTable3"/>
    <pivotTable tabId="1" name="PivotTable4"/>
    <pivotTable tabId="1" name="PivotTable5"/>
    <pivotTable tabId="1" name="PivotTable6"/>
    <pivotTable tabId="1" name="PivotTable7"/>
    <pivotTable tabId="1" name="PivotTable9"/>
  </pivotTables>
  <data>
    <olap pivotCacheId="1629445705">
      <levels count="2">
        <level uniqueName="[bank-full].[housing].[(All)]" sourceCaption="(All)" count="0"/>
        <level uniqueName="[bank-full].[housing].[housing]" sourceCaption="housing" count="2">
          <ranges>
            <range startItem="0">
              <i n="[bank-full].[housing].&amp;[No]" c="No"/>
              <i n="[bank-full].[housing].&amp;[Yes]" c="Yes"/>
            </range>
          </ranges>
        </level>
      </levels>
      <selections count="1">
        <selection n="[bank-full].[housing].[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an" xr10:uid="{D96A8356-9D20-4EAA-814E-0E5DF205AE6E}" sourceName="[bank-full].[loan]">
  <pivotTables>
    <pivotTable tabId="1" name="PivotTable6"/>
    <pivotTable tabId="1" name="PivotTable10"/>
    <pivotTable tabId="1" name="PivotTable11"/>
    <pivotTable tabId="1" name="PivotTable12"/>
    <pivotTable tabId="1" name="PivotTable13"/>
    <pivotTable tabId="1" name="PivotTable2"/>
    <pivotTable tabId="1" name="PivotTable3"/>
    <pivotTable tabId="1" name="PivotTable4"/>
    <pivotTable tabId="1" name="PivotTable5"/>
    <pivotTable tabId="1" name="PivotTable7"/>
    <pivotTable tabId="1" name="PivotTable9"/>
  </pivotTables>
  <data>
    <olap pivotCacheId="1629445705">
      <levels count="2">
        <level uniqueName="[bank-full].[loan].[(All)]" sourceCaption="(All)" count="0"/>
        <level uniqueName="[bank-full].[loan].[loan]" sourceCaption="loan" count="2">
          <ranges>
            <range startItem="0">
              <i n="[bank-full].[loan].&amp;[No]" c="No"/>
              <i n="[bank-full].[loan].&amp;[Yes]" c="Yes"/>
            </range>
          </ranges>
        </level>
      </levels>
      <selections count="1">
        <selection n="[bank-full].[loa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 xr10:uid="{38295BDA-DB55-4FBF-908A-3568B66907DA}" sourceName="[bank-full].[marital]">
  <pivotTables>
    <pivotTable tabId="1" name="PivotTable7"/>
    <pivotTable tabId="1" name="PivotTable10"/>
    <pivotTable tabId="1" name="PivotTable11"/>
    <pivotTable tabId="1" name="PivotTable12"/>
    <pivotTable tabId="1" name="PivotTable13"/>
    <pivotTable tabId="1" name="PivotTable2"/>
    <pivotTable tabId="1" name="PivotTable3"/>
    <pivotTable tabId="1" name="PivotTable4"/>
    <pivotTable tabId="1" name="PivotTable5"/>
    <pivotTable tabId="1" name="PivotTable6"/>
    <pivotTable tabId="1" name="PivotTable9"/>
  </pivotTables>
  <data>
    <olap pivotCacheId="1629445705">
      <levels count="2">
        <level uniqueName="[bank-full].[marital].[(All)]" sourceCaption="(All)" count="0"/>
        <level uniqueName="[bank-full].[marital].[marital]" sourceCaption="marital" count="3">
          <ranges>
            <range startItem="0">
              <i n="[bank-full].[marital].&amp;[Divorced]" c="Divorced"/>
              <i n="[bank-full].[marital].&amp;[Married]" c="Married"/>
              <i n="[bank-full].[marital].&amp;[Single]" c="Single"/>
            </range>
          </ranges>
        </level>
      </levels>
      <selections count="1">
        <selection n="[bank-full].[marital].[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720FAD48-00BB-4B3C-AA63-2CA2880176CA}" sourceName="[bank-full].[education]">
  <pivotTables>
    <pivotTable tabId="1" name="PivotTable7"/>
    <pivotTable tabId="1" name="PivotTable10"/>
    <pivotTable tabId="1" name="PivotTable11"/>
    <pivotTable tabId="1" name="PivotTable12"/>
    <pivotTable tabId="1" name="PivotTable13"/>
    <pivotTable tabId="1" name="PivotTable2"/>
    <pivotTable tabId="1" name="PivotTable3"/>
    <pivotTable tabId="1" name="PivotTable4"/>
    <pivotTable tabId="1" name="PivotTable5"/>
    <pivotTable tabId="1" name="PivotTable6"/>
    <pivotTable tabId="1" name="PivotTable9"/>
  </pivotTables>
  <data>
    <olap pivotCacheId="1629445705">
      <levels count="2">
        <level uniqueName="[bank-full].[education].[(All)]" sourceCaption="(All)" count="0"/>
        <level uniqueName="[bank-full].[education].[education]" sourceCaption="education" count="4">
          <ranges>
            <range startItem="0">
              <i n="[bank-full].[education].&amp;[Primary]" c="Primary"/>
              <i n="[bank-full].[education].&amp;[Secondary]" c="Secondary"/>
              <i n="[bank-full].[education].&amp;[Tertiary]" c="Tertiary"/>
              <i n="[bank-full].[education].&amp;[Unknown]" c="Unknown"/>
            </range>
          </ranges>
        </level>
      </levels>
      <selections count="1">
        <selection n="[bank-full].[educat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housing" xr10:uid="{20D6298B-C7CB-4F42-A612-F95FFAB111DE}" cache="Slicer_housing" caption="housing" columnCount="2" level="1" style="SlicerStyleOther1" rowHeight="234950"/>
  <slicer name="loan" xr10:uid="{B21295E8-3D95-495A-9DFD-CC5E3565ECA2}" cache="Slicer_loan" caption="loan" columnCount="2" level="1" style="SlicerStyleOther1" rowHeight="234950"/>
  <slicer name="marital" xr10:uid="{F75BE51A-4826-4643-91DB-2B7A368936B9}" cache="Slicer_marital" caption="marital" columnCount="3" level="1" style="SlicerStyleOther1" rowHeight="234950"/>
  <slicer name="education" xr10:uid="{12CCC3F2-BAD6-406A-ABC2-380929B96269}" cache="Slicer_education" caption="education" columnCount="4" level="1" style="SlicerStyleOther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9"/>
  <sheetViews>
    <sheetView zoomScaleNormal="100" workbookViewId="0">
      <selection activeCell="C15" sqref="C15"/>
    </sheetView>
  </sheetViews>
  <sheetFormatPr defaultRowHeight="14.4" x14ac:dyDescent="0.3"/>
  <cols>
    <col min="1" max="1" width="12.77734375" bestFit="1" customWidth="1"/>
    <col min="2" max="2" width="17.109375" bestFit="1" customWidth="1"/>
    <col min="3" max="3" width="18" bestFit="1" customWidth="1"/>
    <col min="4" max="4" width="15.21875" bestFit="1" customWidth="1"/>
    <col min="5" max="6" width="17.44140625" bestFit="1" customWidth="1"/>
    <col min="7" max="8" width="18.88671875" bestFit="1" customWidth="1"/>
  </cols>
  <sheetData>
    <row r="1" spans="1:7" x14ac:dyDescent="0.3">
      <c r="A1" t="s">
        <v>0</v>
      </c>
      <c r="C1" t="s">
        <v>1</v>
      </c>
      <c r="E1" t="s">
        <v>2</v>
      </c>
      <c r="G1" t="s">
        <v>3</v>
      </c>
    </row>
    <row r="2" spans="1:7" x14ac:dyDescent="0.3">
      <c r="A2" s="8">
        <v>32191</v>
      </c>
      <c r="C2" s="8">
        <v>4759</v>
      </c>
      <c r="E2" s="7">
        <v>260.51809511975398</v>
      </c>
      <c r="G2" s="6">
        <v>2.7542791463452518</v>
      </c>
    </row>
    <row r="4" spans="1:7" x14ac:dyDescent="0.3">
      <c r="C4" t="s">
        <v>46</v>
      </c>
      <c r="E4" t="s">
        <v>47</v>
      </c>
    </row>
    <row r="5" spans="1:7" x14ac:dyDescent="0.3">
      <c r="C5" s="4">
        <f>C2/A2</f>
        <v>0.14783635177534094</v>
      </c>
      <c r="E5" s="7">
        <f>E2/60</f>
        <v>4.3419682519958993</v>
      </c>
    </row>
    <row r="7" spans="1:7" x14ac:dyDescent="0.3">
      <c r="A7" t="s">
        <v>8</v>
      </c>
    </row>
    <row r="8" spans="1:7" x14ac:dyDescent="0.3">
      <c r="A8" s="1" t="s">
        <v>4</v>
      </c>
      <c r="B8" t="s">
        <v>10</v>
      </c>
      <c r="C8" t="s">
        <v>11</v>
      </c>
    </row>
    <row r="9" spans="1:7" x14ac:dyDescent="0.3">
      <c r="A9" s="2" t="s">
        <v>22</v>
      </c>
      <c r="B9" s="8">
        <v>141</v>
      </c>
      <c r="C9" s="8">
        <v>1253</v>
      </c>
    </row>
    <row r="10" spans="1:7" x14ac:dyDescent="0.3">
      <c r="A10" s="2" t="s">
        <v>21</v>
      </c>
      <c r="B10" s="8">
        <v>437</v>
      </c>
      <c r="C10" s="8">
        <v>2199</v>
      </c>
    </row>
    <row r="11" spans="1:7" x14ac:dyDescent="0.3">
      <c r="A11" s="2" t="s">
        <v>25</v>
      </c>
      <c r="B11" s="8">
        <v>244</v>
      </c>
      <c r="C11" s="8">
        <v>226</v>
      </c>
    </row>
    <row r="12" spans="1:7" x14ac:dyDescent="0.3">
      <c r="A12" s="2" t="s">
        <v>18</v>
      </c>
      <c r="B12" s="8">
        <v>572</v>
      </c>
      <c r="C12" s="8">
        <v>2354</v>
      </c>
    </row>
    <row r="13" spans="1:7" x14ac:dyDescent="0.3">
      <c r="A13" s="2" t="s">
        <v>26</v>
      </c>
      <c r="B13" s="8">
        <v>664</v>
      </c>
      <c r="C13" s="8">
        <v>5127</v>
      </c>
    </row>
    <row r="14" spans="1:7" x14ac:dyDescent="0.3">
      <c r="A14" s="2" t="s">
        <v>24</v>
      </c>
      <c r="B14" s="8">
        <v>340</v>
      </c>
      <c r="C14" s="8">
        <v>469</v>
      </c>
    </row>
    <row r="15" spans="1:7" x14ac:dyDescent="0.3">
      <c r="A15" s="2" t="s">
        <v>23</v>
      </c>
      <c r="B15" s="8">
        <v>616</v>
      </c>
      <c r="C15" s="8">
        <v>6003</v>
      </c>
    </row>
    <row r="16" spans="1:7" x14ac:dyDescent="0.3">
      <c r="A16" s="2" t="s">
        <v>19</v>
      </c>
      <c r="B16" s="8">
        <v>683</v>
      </c>
      <c r="C16" s="8">
        <v>5513</v>
      </c>
    </row>
    <row r="17" spans="1:7" x14ac:dyDescent="0.3">
      <c r="A17" s="2" t="s">
        <v>29</v>
      </c>
      <c r="B17" s="8">
        <v>266</v>
      </c>
      <c r="C17" s="8">
        <v>266</v>
      </c>
    </row>
    <row r="18" spans="1:7" x14ac:dyDescent="0.3">
      <c r="A18" s="2" t="s">
        <v>28</v>
      </c>
      <c r="B18" s="8">
        <v>306</v>
      </c>
      <c r="C18" s="8">
        <v>382</v>
      </c>
    </row>
    <row r="19" spans="1:7" x14ac:dyDescent="0.3">
      <c r="A19" s="2" t="s">
        <v>27</v>
      </c>
      <c r="B19" s="8">
        <v>390</v>
      </c>
      <c r="C19" s="8">
        <v>3529</v>
      </c>
    </row>
    <row r="20" spans="1:7" x14ac:dyDescent="0.3">
      <c r="A20" s="2" t="s">
        <v>20</v>
      </c>
      <c r="B20" s="8">
        <v>100</v>
      </c>
      <c r="C20" s="8">
        <v>111</v>
      </c>
    </row>
    <row r="21" spans="1:7" x14ac:dyDescent="0.3">
      <c r="A21" s="2" t="s">
        <v>5</v>
      </c>
      <c r="B21" s="11">
        <v>4759</v>
      </c>
      <c r="C21" s="11">
        <v>27432</v>
      </c>
    </row>
    <row r="23" spans="1:7" x14ac:dyDescent="0.3">
      <c r="A23" s="2" t="s">
        <v>9</v>
      </c>
    </row>
    <row r="24" spans="1:7" x14ac:dyDescent="0.3">
      <c r="A24" s="1" t="s">
        <v>4</v>
      </c>
      <c r="B24" t="s">
        <v>54</v>
      </c>
      <c r="C24" t="s">
        <v>6</v>
      </c>
      <c r="D24" t="s">
        <v>55</v>
      </c>
      <c r="F24" s="2" t="s">
        <v>9</v>
      </c>
      <c r="G24" t="s">
        <v>56</v>
      </c>
    </row>
    <row r="25" spans="1:7" x14ac:dyDescent="0.3">
      <c r="A25" s="2" t="s">
        <v>30</v>
      </c>
      <c r="B25" s="10">
        <v>24916</v>
      </c>
      <c r="C25" s="11">
        <v>4369</v>
      </c>
      <c r="D25" s="10">
        <v>29285</v>
      </c>
      <c r="F25" s="2" t="s">
        <v>30</v>
      </c>
      <c r="G25" s="4">
        <f>C25/D25</f>
        <v>0.14918900460986853</v>
      </c>
    </row>
    <row r="26" spans="1:7" x14ac:dyDescent="0.3">
      <c r="A26" s="2" t="s">
        <v>31</v>
      </c>
      <c r="B26" s="10">
        <v>2516</v>
      </c>
      <c r="C26" s="11">
        <v>390</v>
      </c>
      <c r="D26" s="10">
        <v>2906</v>
      </c>
      <c r="F26" s="2" t="s">
        <v>31</v>
      </c>
      <c r="G26" s="4">
        <f>C26/D26</f>
        <v>0.13420509291121818</v>
      </c>
    </row>
    <row r="27" spans="1:7" x14ac:dyDescent="0.3">
      <c r="A27" s="2" t="s">
        <v>5</v>
      </c>
      <c r="B27" s="11">
        <v>27432</v>
      </c>
      <c r="C27" s="11">
        <v>4759</v>
      </c>
      <c r="D27" s="11">
        <v>32191</v>
      </c>
      <c r="F27" s="2"/>
      <c r="G27" s="4"/>
    </row>
    <row r="32" spans="1:7" x14ac:dyDescent="0.3">
      <c r="A32" s="2"/>
    </row>
    <row r="36" spans="1:2" x14ac:dyDescent="0.3">
      <c r="A36" s="2" t="s">
        <v>12</v>
      </c>
    </row>
    <row r="37" spans="1:2" x14ac:dyDescent="0.3">
      <c r="A37" s="1" t="s">
        <v>4</v>
      </c>
      <c r="B37" t="s">
        <v>6</v>
      </c>
    </row>
    <row r="38" spans="1:2" x14ac:dyDescent="0.3">
      <c r="A38" s="2" t="s">
        <v>15</v>
      </c>
      <c r="B38" s="9">
        <v>0.33825578155475061</v>
      </c>
    </row>
    <row r="39" spans="1:2" x14ac:dyDescent="0.3">
      <c r="A39" s="2" t="s">
        <v>17</v>
      </c>
      <c r="B39" s="9">
        <v>0.21120089161326275</v>
      </c>
    </row>
    <row r="40" spans="1:2" x14ac:dyDescent="0.3">
      <c r="A40" s="2" t="s">
        <v>13</v>
      </c>
      <c r="B40" s="9">
        <v>0.15881861242685985</v>
      </c>
    </row>
    <row r="41" spans="1:2" x14ac:dyDescent="0.3">
      <c r="A41" s="2" t="s">
        <v>14</v>
      </c>
      <c r="B41" s="9">
        <v>0.15380328782390637</v>
      </c>
    </row>
    <row r="42" spans="1:2" x14ac:dyDescent="0.3">
      <c r="A42" s="2" t="s">
        <v>16</v>
      </c>
      <c r="B42" s="9">
        <v>0.13792142658122039</v>
      </c>
    </row>
    <row r="43" spans="1:2" x14ac:dyDescent="0.3">
      <c r="A43" s="2" t="s">
        <v>5</v>
      </c>
      <c r="B43" s="3">
        <v>1</v>
      </c>
    </row>
    <row r="54" spans="1:3" x14ac:dyDescent="0.3">
      <c r="A54" s="2" t="s">
        <v>32</v>
      </c>
    </row>
    <row r="55" spans="1:3" x14ac:dyDescent="0.3">
      <c r="A55" s="1" t="s">
        <v>4</v>
      </c>
      <c r="B55" t="s">
        <v>6</v>
      </c>
      <c r="C55" t="s">
        <v>7</v>
      </c>
    </row>
    <row r="56" spans="1:3" x14ac:dyDescent="0.3">
      <c r="A56" s="2">
        <v>1</v>
      </c>
      <c r="B56" s="9">
        <v>0.50475572849113703</v>
      </c>
      <c r="C56" s="9">
        <v>0.50475572849113703</v>
      </c>
    </row>
    <row r="57" spans="1:3" x14ac:dyDescent="0.3">
      <c r="A57" s="2">
        <v>2</v>
      </c>
      <c r="B57" s="9">
        <v>0.27129269347168178</v>
      </c>
      <c r="C57" s="9">
        <v>0.27129269347168178</v>
      </c>
    </row>
    <row r="58" spans="1:3" x14ac:dyDescent="0.3">
      <c r="A58" s="2">
        <v>3</v>
      </c>
      <c r="B58" s="9">
        <v>0.11802853437094682</v>
      </c>
      <c r="C58" s="9">
        <v>0.11802853437094682</v>
      </c>
    </row>
    <row r="59" spans="1:3" x14ac:dyDescent="0.3">
      <c r="A59" s="2">
        <v>4</v>
      </c>
      <c r="B59" s="9">
        <v>6.1608300907911806E-2</v>
      </c>
      <c r="C59" s="9">
        <v>6.1608300907911806E-2</v>
      </c>
    </row>
    <row r="60" spans="1:3" x14ac:dyDescent="0.3">
      <c r="A60" s="2">
        <v>5</v>
      </c>
      <c r="B60" s="9">
        <v>2.7237354085603113E-2</v>
      </c>
      <c r="C60" s="9">
        <v>2.7237354085603113E-2</v>
      </c>
    </row>
    <row r="61" spans="1:3" x14ac:dyDescent="0.3">
      <c r="A61" s="2">
        <v>6</v>
      </c>
      <c r="B61" s="9">
        <v>1.707738867271941E-2</v>
      </c>
      <c r="C61" s="9">
        <v>1.707738867271941E-2</v>
      </c>
    </row>
    <row r="62" spans="1:3" x14ac:dyDescent="0.3">
      <c r="A62" s="2" t="s">
        <v>5</v>
      </c>
      <c r="B62" s="3">
        <v>1</v>
      </c>
      <c r="C62" s="3">
        <v>1</v>
      </c>
    </row>
    <row r="70" spans="1:2" x14ac:dyDescent="0.3">
      <c r="A70" s="2" t="s">
        <v>33</v>
      </c>
    </row>
    <row r="71" spans="1:2" x14ac:dyDescent="0.3">
      <c r="A71" s="1" t="s">
        <v>4</v>
      </c>
      <c r="B71" t="s">
        <v>37</v>
      </c>
    </row>
    <row r="72" spans="1:2" x14ac:dyDescent="0.3">
      <c r="A72" s="2" t="s">
        <v>34</v>
      </c>
      <c r="B72" s="3">
        <v>0.54313899271704369</v>
      </c>
    </row>
    <row r="73" spans="1:2" x14ac:dyDescent="0.3">
      <c r="A73" s="2" t="s">
        <v>35</v>
      </c>
      <c r="B73" s="3">
        <v>0.27837077569265156</v>
      </c>
    </row>
    <row r="74" spans="1:2" x14ac:dyDescent="0.3">
      <c r="A74" s="2" t="s">
        <v>36</v>
      </c>
      <c r="B74" s="3">
        <v>0.17783515086123849</v>
      </c>
    </row>
    <row r="75" spans="1:2" x14ac:dyDescent="0.3">
      <c r="A75" s="2" t="s">
        <v>57</v>
      </c>
      <c r="B75" s="3">
        <v>6.5508072906631724E-4</v>
      </c>
    </row>
    <row r="76" spans="1:2" x14ac:dyDescent="0.3">
      <c r="A76" s="2" t="s">
        <v>5</v>
      </c>
      <c r="B76" s="3">
        <v>1</v>
      </c>
    </row>
    <row r="85" spans="1:2" x14ac:dyDescent="0.3">
      <c r="A85" s="2" t="s">
        <v>38</v>
      </c>
    </row>
    <row r="86" spans="1:2" x14ac:dyDescent="0.3">
      <c r="A86" s="1" t="s">
        <v>4</v>
      </c>
      <c r="B86" t="s">
        <v>6</v>
      </c>
    </row>
    <row r="87" spans="1:2" x14ac:dyDescent="0.3">
      <c r="A87" s="2" t="s">
        <v>48</v>
      </c>
      <c r="B87" s="9">
        <v>0.11388947257827274</v>
      </c>
    </row>
    <row r="88" spans="1:2" x14ac:dyDescent="0.3">
      <c r="A88" s="2" t="s">
        <v>49</v>
      </c>
      <c r="B88" s="9">
        <v>0.3687749527211599</v>
      </c>
    </row>
    <row r="89" spans="1:2" x14ac:dyDescent="0.3">
      <c r="A89" s="2" t="s">
        <v>50</v>
      </c>
      <c r="B89" s="9">
        <v>0.21201933179239335</v>
      </c>
    </row>
    <row r="90" spans="1:2" x14ac:dyDescent="0.3">
      <c r="A90" s="2" t="s">
        <v>51</v>
      </c>
      <c r="B90" s="9">
        <v>0.15087203193948309</v>
      </c>
    </row>
    <row r="91" spans="1:2" x14ac:dyDescent="0.3">
      <c r="A91" s="2" t="s">
        <v>52</v>
      </c>
      <c r="B91" s="9">
        <v>9.7079218323177133E-2</v>
      </c>
    </row>
    <row r="92" spans="1:2" x14ac:dyDescent="0.3">
      <c r="A92" s="2" t="s">
        <v>53</v>
      </c>
      <c r="B92" s="9">
        <v>5.7364992645513764E-2</v>
      </c>
    </row>
    <row r="93" spans="1:2" x14ac:dyDescent="0.3">
      <c r="A93" s="2" t="s">
        <v>5</v>
      </c>
      <c r="B93" s="3">
        <v>1</v>
      </c>
    </row>
    <row r="101" spans="1:3" x14ac:dyDescent="0.3">
      <c r="A101" s="2" t="s">
        <v>39</v>
      </c>
    </row>
    <row r="102" spans="1:3" x14ac:dyDescent="0.3">
      <c r="A102" s="1" t="s">
        <v>4</v>
      </c>
      <c r="B102" t="s">
        <v>10</v>
      </c>
      <c r="C102" t="s">
        <v>11</v>
      </c>
    </row>
    <row r="103" spans="1:3" x14ac:dyDescent="0.3">
      <c r="A103" s="2" t="s">
        <v>40</v>
      </c>
      <c r="B103" s="11">
        <v>163</v>
      </c>
      <c r="C103" s="11">
        <v>2123</v>
      </c>
    </row>
    <row r="104" spans="1:3" x14ac:dyDescent="0.3">
      <c r="A104" s="2" t="s">
        <v>41</v>
      </c>
      <c r="B104" s="11">
        <v>1764</v>
      </c>
      <c r="C104" s="11">
        <v>12384</v>
      </c>
    </row>
    <row r="105" spans="1:3" x14ac:dyDescent="0.3">
      <c r="A105" s="2" t="s">
        <v>42</v>
      </c>
      <c r="B105" s="11">
        <v>1520</v>
      </c>
      <c r="C105" s="11">
        <v>7874</v>
      </c>
    </row>
    <row r="106" spans="1:3" x14ac:dyDescent="0.3">
      <c r="A106" s="2" t="s">
        <v>43</v>
      </c>
      <c r="B106" s="11">
        <v>902</v>
      </c>
      <c r="C106" s="11">
        <v>3304</v>
      </c>
    </row>
    <row r="107" spans="1:3" x14ac:dyDescent="0.3">
      <c r="A107" s="2" t="s">
        <v>44</v>
      </c>
      <c r="B107" s="11">
        <v>282</v>
      </c>
      <c r="C107" s="11">
        <v>1233</v>
      </c>
    </row>
    <row r="108" spans="1:3" x14ac:dyDescent="0.3">
      <c r="A108" s="2" t="s">
        <v>45</v>
      </c>
      <c r="B108" s="11">
        <v>128</v>
      </c>
      <c r="C108" s="11">
        <v>514</v>
      </c>
    </row>
    <row r="109" spans="1:3" x14ac:dyDescent="0.3">
      <c r="A109" s="2" t="s">
        <v>5</v>
      </c>
      <c r="B109" s="11">
        <v>4759</v>
      </c>
      <c r="C109" s="11">
        <v>27432</v>
      </c>
    </row>
  </sheetData>
  <pageMargins left="0.7" right="0.7" top="0.75" bottom="0.75" header="0.3" footer="0.3"/>
  <drawing r:id="rId1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C3ED7E-D163-4229-93E9-C09A7A838A23}">
  <dimension ref="A1:XFC1048576"/>
  <sheetViews>
    <sheetView showGridLines="0" tabSelected="1" topLeftCell="C7" zoomScale="94" zoomScaleNormal="75" workbookViewId="0">
      <selection activeCell="U14" sqref="U14"/>
    </sheetView>
  </sheetViews>
  <sheetFormatPr defaultColWidth="0" defaultRowHeight="14.4" zeroHeight="1" x14ac:dyDescent="0.3"/>
  <cols>
    <col min="1" max="21" width="8.88671875" style="5" customWidth="1"/>
    <col min="22" max="16383" width="8.88671875" style="5" hidden="1"/>
    <col min="16384" max="16384" width="11.44140625" style="5" hidden="1"/>
  </cols>
  <sheetData>
    <row r="1" x14ac:dyDescent="0.3"/>
    <row r="2" x14ac:dyDescent="0.3"/>
    <row r="3" x14ac:dyDescent="0.3"/>
    <row r="4" x14ac:dyDescent="0.3"/>
    <row r="5" x14ac:dyDescent="0.3"/>
    <row r="6" x14ac:dyDescent="0.3"/>
    <row r="7" x14ac:dyDescent="0.3"/>
    <row r="8" x14ac:dyDescent="0.3"/>
    <row r="9" x14ac:dyDescent="0.3"/>
    <row r="10" x14ac:dyDescent="0.3"/>
    <row r="11" x14ac:dyDescent="0.3"/>
    <row r="12" x14ac:dyDescent="0.3"/>
    <row r="13" x14ac:dyDescent="0.3"/>
    <row r="14" x14ac:dyDescent="0.3"/>
    <row r="15" x14ac:dyDescent="0.3"/>
    <row r="16" x14ac:dyDescent="0.3"/>
    <row r="17" x14ac:dyDescent="0.3"/>
    <row r="18" x14ac:dyDescent="0.3"/>
    <row r="19" x14ac:dyDescent="0.3"/>
    <row r="20" x14ac:dyDescent="0.3"/>
    <row r="21" x14ac:dyDescent="0.3"/>
    <row r="22" x14ac:dyDescent="0.3"/>
    <row r="23" x14ac:dyDescent="0.3"/>
    <row r="24" x14ac:dyDescent="0.3"/>
    <row r="25" x14ac:dyDescent="0.3"/>
    <row r="26" x14ac:dyDescent="0.3"/>
    <row r="27" x14ac:dyDescent="0.3"/>
    <row r="28" x14ac:dyDescent="0.3"/>
    <row r="29" x14ac:dyDescent="0.3"/>
    <row r="30" x14ac:dyDescent="0.3"/>
    <row r="31" x14ac:dyDescent="0.3"/>
    <row r="32" x14ac:dyDescent="0.3"/>
    <row r="33" x14ac:dyDescent="0.3"/>
    <row r="34" x14ac:dyDescent="0.3"/>
    <row r="35" x14ac:dyDescent="0.3"/>
    <row r="36" x14ac:dyDescent="0.3"/>
    <row r="37" x14ac:dyDescent="0.3"/>
    <row r="38" x14ac:dyDescent="0.3"/>
    <row r="39" x14ac:dyDescent="0.3"/>
    <row r="40" x14ac:dyDescent="0.3"/>
    <row r="41" x14ac:dyDescent="0.3"/>
    <row r="42" x14ac:dyDescent="0.3"/>
    <row r="43" x14ac:dyDescent="0.3"/>
    <row r="44" x14ac:dyDescent="0.3"/>
    <row r="45" x14ac:dyDescent="0.3"/>
    <row r="46" x14ac:dyDescent="0.3"/>
    <row r="47" x14ac:dyDescent="0.3"/>
    <row r="48" x14ac:dyDescent="0.3"/>
    <row r="49" x14ac:dyDescent="0.3"/>
    <row r="50" x14ac:dyDescent="0.3"/>
    <row r="51" x14ac:dyDescent="0.3"/>
    <row r="52" x14ac:dyDescent="0.3"/>
    <row r="53" x14ac:dyDescent="0.3"/>
    <row r="54" x14ac:dyDescent="0.3"/>
    <row r="55" x14ac:dyDescent="0.3"/>
    <row r="56" ht="17.399999999999999" customHeight="1" x14ac:dyDescent="0.3"/>
    <row r="57" x14ac:dyDescent="0.3"/>
    <row r="58" x14ac:dyDescent="0.3"/>
    <row r="59" x14ac:dyDescent="0.3"/>
    <row r="60" x14ac:dyDescent="0.3"/>
    <row r="1048576" ht="12" hidden="1"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Props1.xml><?xml version="1.0" encoding="utf-8"?>
<ds:datastoreItem xmlns:ds="http://schemas.openxmlformats.org/officeDocument/2006/customXml" ds:itemID="{33AB1D6E-4218-4372-AFB6-58D3D3E326A4}">
  <ds:schemaRefs/>
</ds:datastoreItem>
</file>

<file path=customXml/itemProps2.xml><?xml version="1.0" encoding="utf-8"?>
<ds:datastoreItem xmlns:ds="http://schemas.openxmlformats.org/officeDocument/2006/customXml" ds:itemID="{DCBA77BA-D8F8-4017-BE5C-88E2C8FC609B}">
  <ds:schemaRefs/>
</ds:datastoreItem>
</file>

<file path=customXml/itemProps3.xml><?xml version="1.0" encoding="utf-8"?>
<ds:datastoreItem xmlns:ds="http://schemas.openxmlformats.org/officeDocument/2006/customXml" ds:itemID="{CEADDB76-F1C8-464F-B814-4BE91959B5B4}">
  <ds:schemaRefs/>
</ds:datastoreItem>
</file>

<file path=customXml/itemProps4.xml><?xml version="1.0" encoding="utf-8"?>
<ds:datastoreItem xmlns:ds="http://schemas.openxmlformats.org/officeDocument/2006/customXml" ds:itemID="{19B47AC5-E5BB-4251-A1B7-D465E506052A}">
  <ds:schemaRefs/>
</ds:datastoreItem>
</file>

<file path=customXml/itemProps5.xml><?xml version="1.0" encoding="utf-8"?>
<ds:datastoreItem xmlns:ds="http://schemas.openxmlformats.org/officeDocument/2006/customXml" ds:itemID="{ECFA9347-37FD-449B-86F4-5D1D9473CF5C}">
  <ds:schemaRefs/>
</ds:datastoreItem>
</file>

<file path=customXml/itemProps6.xml><?xml version="1.0" encoding="utf-8"?>
<ds:datastoreItem xmlns:ds="http://schemas.openxmlformats.org/officeDocument/2006/customXml" ds:itemID="{199DAB1C-7A7C-4AB3-9992-C2F255260319}">
  <ds:schemaRefs/>
</ds:datastoreItem>
</file>

<file path=customXml/itemProps7.xml><?xml version="1.0" encoding="utf-8"?>
<ds:datastoreItem xmlns:ds="http://schemas.openxmlformats.org/officeDocument/2006/customXml" ds:itemID="{89BC4574-1ED3-4938-9F4D-98D08C4D654F}">
  <ds:schemaRefs/>
</ds:datastoreItem>
</file>

<file path=customXml/itemProps8.xml><?xml version="1.0" encoding="utf-8"?>
<ds:datastoreItem xmlns:ds="http://schemas.openxmlformats.org/officeDocument/2006/customXml" ds:itemID="{3DCC877D-0958-4BE2-AC63-408FB8859EBB}">
  <ds:schemaRefs/>
</ds:datastoreItem>
</file>

<file path=customXml/itemProps9.xml><?xml version="1.0" encoding="utf-8"?>
<ds:datastoreItem xmlns:ds="http://schemas.openxmlformats.org/officeDocument/2006/customXml" ds:itemID="{D60541F7-AB50-40F0-87E7-962793BAA5B4}">
  <ds:schemaRefs/>
</ds:datastoreItem>
</file>

<file path=customXml/itemProps10.xml><?xml version="1.0" encoding="utf-8"?>
<ds:datastoreItem xmlns:ds="http://schemas.openxmlformats.org/officeDocument/2006/customXml" ds:itemID="{FDC30DFC-232D-49F7-964A-4191848EFA31}">
  <ds:schemaRefs/>
</ds:datastoreItem>
</file>

<file path=customXml/itemProps11.xml><?xml version="1.0" encoding="utf-8"?>
<ds:datastoreItem xmlns:ds="http://schemas.openxmlformats.org/officeDocument/2006/customXml" ds:itemID="{310C5CC0-098F-4BF6-8D8C-12F4B0C692EE}">
  <ds:schemaRefs/>
</ds:datastoreItem>
</file>

<file path=customXml/itemProps12.xml><?xml version="1.0" encoding="utf-8"?>
<ds:datastoreItem xmlns:ds="http://schemas.openxmlformats.org/officeDocument/2006/customXml" ds:itemID="{6421C489-04A4-4A7A-BC03-F14EFA960164}">
  <ds:schemaRefs/>
</ds:datastoreItem>
</file>

<file path=customXml/itemProps13.xml><?xml version="1.0" encoding="utf-8"?>
<ds:datastoreItem xmlns:ds="http://schemas.openxmlformats.org/officeDocument/2006/customXml" ds:itemID="{E7684A0F-FE78-4EF6-B073-D2171089F4D7}">
  <ds:schemaRefs/>
</ds:datastoreItem>
</file>

<file path=customXml/itemProps14.xml><?xml version="1.0" encoding="utf-8"?>
<ds:datastoreItem xmlns:ds="http://schemas.openxmlformats.org/officeDocument/2006/customXml" ds:itemID="{20DC5C9C-5D28-4DBD-B2E3-99C33BE73665}">
  <ds:schemaRefs/>
</ds:datastoreItem>
</file>

<file path=customXml/itemProps15.xml><?xml version="1.0" encoding="utf-8"?>
<ds:datastoreItem xmlns:ds="http://schemas.openxmlformats.org/officeDocument/2006/customXml" ds:itemID="{B37987CA-8845-4F85-B0FE-2EAB2266FE32}">
  <ds:schemaRefs/>
</ds:datastoreItem>
</file>

<file path=customXml/itemProps16.xml><?xml version="1.0" encoding="utf-8"?>
<ds:datastoreItem xmlns:ds="http://schemas.openxmlformats.org/officeDocument/2006/customXml" ds:itemID="{024C4FEC-C8DE-49AC-AB06-05331D2029B1}">
  <ds:schemaRefs/>
</ds:datastoreItem>
</file>

<file path=customXml/itemProps17.xml><?xml version="1.0" encoding="utf-8"?>
<ds:datastoreItem xmlns:ds="http://schemas.openxmlformats.org/officeDocument/2006/customXml" ds:itemID="{5AB137AC-26C8-4BC2-96AB-2C77029334C7}">
  <ds:schemaRefs/>
</ds:datastoreItem>
</file>

<file path=customXml/itemProps18.xml><?xml version="1.0" encoding="utf-8"?>
<ds:datastoreItem xmlns:ds="http://schemas.openxmlformats.org/officeDocument/2006/customXml" ds:itemID="{D166C594-0479-41F5-858F-BFBECF4E13A8}">
  <ds:schemaRefs/>
</ds:datastoreItem>
</file>

<file path=customXml/itemProps19.xml><?xml version="1.0" encoding="utf-8"?>
<ds:datastoreItem xmlns:ds="http://schemas.openxmlformats.org/officeDocument/2006/customXml" ds:itemID="{4599FF4D-30CD-428E-AC36-9268DE05557E}">
  <ds:schemaRefs/>
</ds:datastoreItem>
</file>

<file path=customXml/itemProps20.xml><?xml version="1.0" encoding="utf-8"?>
<ds:datastoreItem xmlns:ds="http://schemas.openxmlformats.org/officeDocument/2006/customXml" ds:itemID="{A1E04E3E-45A7-4572-BF61-E378313EB3CA}">
  <ds:schemaRefs/>
</ds:datastoreItem>
</file>

<file path=customXml/itemProps21.xml><?xml version="1.0" encoding="utf-8"?>
<ds:datastoreItem xmlns:ds="http://schemas.openxmlformats.org/officeDocument/2006/customXml" ds:itemID="{1794AA9D-9DA7-453C-837D-DB9A960C901B}">
  <ds:schemaRefs/>
</ds:datastoreItem>
</file>

<file path=customXml/itemProps22.xml><?xml version="1.0" encoding="utf-8"?>
<ds:datastoreItem xmlns:ds="http://schemas.openxmlformats.org/officeDocument/2006/customXml" ds:itemID="{F5576E8C-A307-4F8B-B8FA-6AD8ACEAD42A}">
  <ds:schemaRefs/>
</ds:datastoreItem>
</file>

<file path=customXml/itemProps23.xml><?xml version="1.0" encoding="utf-8"?>
<ds:datastoreItem xmlns:ds="http://schemas.openxmlformats.org/officeDocument/2006/customXml" ds:itemID="{6597A50D-398A-4998-807D-747FEA7F5655}">
  <ds:schemaRefs/>
</ds:datastoreItem>
</file>

<file path=customXml/itemProps24.xml><?xml version="1.0" encoding="utf-8"?>
<ds:datastoreItem xmlns:ds="http://schemas.openxmlformats.org/officeDocument/2006/customXml" ds:itemID="{F1A01AFC-7447-4C64-8E7A-0721DC9E9C90}">
  <ds:schemaRefs/>
</ds:datastoreItem>
</file>

<file path=customXml/itemProps25.xml><?xml version="1.0" encoding="utf-8"?>
<ds:datastoreItem xmlns:ds="http://schemas.openxmlformats.org/officeDocument/2006/customXml" ds:itemID="{AC049311-5D6B-43C4-B24A-FFBC5856B09F}">
  <ds:schemaRefs/>
</ds:datastoreItem>
</file>

<file path=customXml/itemProps26.xml><?xml version="1.0" encoding="utf-8"?>
<ds:datastoreItem xmlns:ds="http://schemas.openxmlformats.org/officeDocument/2006/customXml" ds:itemID="{6C0E51D1-D176-453D-8474-5706689BED1D}">
  <ds:schemaRefs/>
</ds:datastoreItem>
</file>

<file path=customXml/itemProps27.xml><?xml version="1.0" encoding="utf-8"?>
<ds:datastoreItem xmlns:ds="http://schemas.openxmlformats.org/officeDocument/2006/customXml" ds:itemID="{109FF7EC-A4B5-4296-A837-FE0EB8400AE3}">
  <ds:schemaRefs/>
</ds:datastoreItem>
</file>

<file path=customXml/itemProps28.xml><?xml version="1.0" encoding="utf-8"?>
<ds:datastoreItem xmlns:ds="http://schemas.openxmlformats.org/officeDocument/2006/customXml" ds:itemID="{46884A66-5ED6-4877-AA93-3478D1097BB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Preparation</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Axioo Pongo</dc:creator>
  <cp:lastModifiedBy>Irfan Maulana</cp:lastModifiedBy>
  <dcterms:created xsi:type="dcterms:W3CDTF">2015-06-05T18:17:20Z</dcterms:created>
  <dcterms:modified xsi:type="dcterms:W3CDTF">2026-04-23T00:17:00Z</dcterms:modified>
</cp:coreProperties>
</file>